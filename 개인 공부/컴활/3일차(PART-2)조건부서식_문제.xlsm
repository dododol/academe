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issi\Documents\01_중요자료\04_컴활2급실기\11_5일만에 끝내기(2023)\2일차\2일차_2\"/>
    </mc:Choice>
  </mc:AlternateContent>
  <bookViews>
    <workbookView xWindow="360" yWindow="98" windowWidth="20475" windowHeight="11655" firstSheet="3" activeTab="7"/>
  </bookViews>
  <sheets>
    <sheet name="조건부서식1" sheetId="3" r:id="rId1"/>
    <sheet name="조건부서식2" sheetId="10" r:id="rId2"/>
    <sheet name="조건부서식3" sheetId="11" r:id="rId3"/>
    <sheet name="조건부서식4" sheetId="12" r:id="rId4"/>
    <sheet name="조건부서식5" sheetId="13" r:id="rId5"/>
    <sheet name="조건부서식6" sheetId="14" r:id="rId6"/>
    <sheet name="조건부서식7" sheetId="15" r:id="rId7"/>
    <sheet name="조건부서식8" sheetId="16" r:id="rId8"/>
  </sheets>
  <externalReferences>
    <externalReference r:id="rId9"/>
    <externalReference r:id="rId10"/>
  </externalReferences>
  <definedNames>
    <definedName name="_xlnm._FilterDatabase" localSheetId="1" hidden="1">조건부서식2!#REF!</definedName>
    <definedName name="_xlnm._FilterDatabase" localSheetId="4" hidden="1">조건부서식5!#REF!</definedName>
    <definedName name="_xlnm.Criteria" localSheetId="4">조건부서식5!#REF!</definedName>
    <definedName name="_xlnm.Extract" localSheetId="4">조건부서식5!#REF!</definedName>
    <definedName name="배점">'[2]기본작업-2'!#REF!</definedName>
    <definedName name="오픈일자" localSheetId="4">#REF!</definedName>
    <definedName name="오픈일자">#REF!</definedName>
    <definedName name="학점이" localSheetId="4">#REF!</definedName>
    <definedName name="학점이">#REF!</definedName>
    <definedName name="학점표" localSheetId="4">#REF!</definedName>
    <definedName name="학점표">#REF!</definedName>
  </definedNames>
  <calcPr calcId="162913"/>
</workbook>
</file>

<file path=xl/calcChain.xml><?xml version="1.0" encoding="utf-8"?>
<calcChain xmlns="http://schemas.openxmlformats.org/spreadsheetml/2006/main">
  <c r="F15" i="16" l="1"/>
  <c r="G15" i="16" s="1"/>
  <c r="F14" i="16"/>
  <c r="G14" i="16" s="1"/>
  <c r="G13" i="16"/>
  <c r="F13" i="16"/>
  <c r="F12" i="16"/>
  <c r="G12" i="16" s="1"/>
  <c r="F11" i="16"/>
  <c r="G11" i="16" s="1"/>
  <c r="F10" i="16"/>
  <c r="G10" i="16" s="1"/>
  <c r="G9" i="16"/>
  <c r="F9" i="16"/>
  <c r="F8" i="16"/>
  <c r="G8" i="16" s="1"/>
  <c r="F7" i="16"/>
  <c r="G7" i="16" s="1"/>
  <c r="F6" i="16"/>
  <c r="G6" i="16" s="1"/>
  <c r="G5" i="16"/>
  <c r="F5" i="16"/>
  <c r="F4" i="16"/>
  <c r="G4" i="16" s="1"/>
  <c r="F18" i="15" l="1"/>
  <c r="D18" i="15"/>
  <c r="H18" i="15" s="1"/>
  <c r="F17" i="15"/>
  <c r="H17" i="15" s="1"/>
  <c r="D17" i="15"/>
  <c r="F16" i="15"/>
  <c r="D16" i="15"/>
  <c r="H16" i="15" s="1"/>
  <c r="F15" i="15"/>
  <c r="H15" i="15" s="1"/>
  <c r="D15" i="15"/>
  <c r="H14" i="15"/>
  <c r="F14" i="15"/>
  <c r="D14" i="15"/>
  <c r="F13" i="15"/>
  <c r="D13" i="15"/>
  <c r="H13" i="15" s="1"/>
  <c r="H12" i="15"/>
  <c r="F12" i="15"/>
  <c r="D12" i="15"/>
  <c r="F11" i="15"/>
  <c r="D11" i="15"/>
  <c r="H11" i="15" s="1"/>
  <c r="F10" i="15"/>
  <c r="D10" i="15"/>
  <c r="H10" i="15" s="1"/>
  <c r="F9" i="15"/>
  <c r="H9" i="15" s="1"/>
  <c r="D9" i="15"/>
  <c r="F8" i="15"/>
  <c r="D8" i="15"/>
  <c r="H8" i="15" s="1"/>
  <c r="F7" i="15"/>
  <c r="H7" i="15" s="1"/>
  <c r="D7" i="15"/>
  <c r="F6" i="15"/>
  <c r="D6" i="15"/>
  <c r="H6" i="15" s="1"/>
  <c r="F5" i="15"/>
  <c r="D5" i="15"/>
  <c r="H5" i="15" s="1"/>
  <c r="H4" i="15"/>
  <c r="F4" i="15"/>
  <c r="D4" i="15"/>
  <c r="F18" i="12" l="1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H12" i="11" l="1"/>
  <c r="G12" i="11"/>
  <c r="H11" i="11"/>
  <c r="G11" i="11"/>
  <c r="H10" i="11"/>
  <c r="G10" i="11"/>
  <c r="H9" i="11"/>
  <c r="G9" i="11"/>
  <c r="H8" i="11"/>
  <c r="G8" i="11"/>
  <c r="H7" i="11"/>
  <c r="G7" i="11"/>
  <c r="H6" i="11"/>
  <c r="G6" i="11"/>
  <c r="H5" i="11"/>
  <c r="G5" i="11"/>
  <c r="H4" i="11"/>
  <c r="G4" i="11"/>
</calcChain>
</file>

<file path=xl/sharedStrings.xml><?xml version="1.0" encoding="utf-8"?>
<sst xmlns="http://schemas.openxmlformats.org/spreadsheetml/2006/main" count="328" uniqueCount="217">
  <si>
    <t>사원명</t>
  </si>
  <si>
    <t>부서명</t>
  </si>
  <si>
    <t>근태</t>
  </si>
  <si>
    <t>실적</t>
  </si>
  <si>
    <t>필기</t>
  </si>
  <si>
    <t>실기</t>
  </si>
  <si>
    <t>총점</t>
  </si>
  <si>
    <t>상공주식회사 승진시험 결과</t>
    <phoneticPr fontId="1" type="noConversion"/>
  </si>
  <si>
    <t>이준열</t>
    <phoneticPr fontId="1" type="noConversion"/>
  </si>
  <si>
    <t>고성희</t>
    <phoneticPr fontId="1" type="noConversion"/>
  </si>
  <si>
    <t>한정재</t>
    <phoneticPr fontId="1" type="noConversion"/>
  </si>
  <si>
    <t>류승엽</t>
    <phoneticPr fontId="1" type="noConversion"/>
  </si>
  <si>
    <t>유가람</t>
    <phoneticPr fontId="1" type="noConversion"/>
  </si>
  <si>
    <t>최연아</t>
    <phoneticPr fontId="1" type="noConversion"/>
  </si>
  <si>
    <t>고진영</t>
    <phoneticPr fontId="1" type="noConversion"/>
  </si>
  <si>
    <t>강성훈</t>
    <phoneticPr fontId="1" type="noConversion"/>
  </si>
  <si>
    <t>박성현</t>
    <phoneticPr fontId="1" type="noConversion"/>
  </si>
  <si>
    <t>조광희</t>
    <phoneticPr fontId="1" type="noConversion"/>
  </si>
  <si>
    <t>김태연</t>
    <phoneticPr fontId="1" type="noConversion"/>
  </si>
  <si>
    <t>정우성</t>
    <phoneticPr fontId="1" type="noConversion"/>
  </si>
  <si>
    <t>이영자</t>
    <phoneticPr fontId="1" type="noConversion"/>
  </si>
  <si>
    <t>최진역</t>
    <phoneticPr fontId="1" type="noConversion"/>
  </si>
  <si>
    <t>박진경</t>
    <phoneticPr fontId="1" type="noConversion"/>
  </si>
  <si>
    <t>영업1팀</t>
    <phoneticPr fontId="1" type="noConversion"/>
  </si>
  <si>
    <t>영업2팀</t>
  </si>
  <si>
    <t>생산1팀</t>
    <phoneticPr fontId="1" type="noConversion"/>
  </si>
  <si>
    <t>생산2팀</t>
    <phoneticPr fontId="1" type="noConversion"/>
  </si>
  <si>
    <t>기획1팀</t>
    <phoneticPr fontId="1" type="noConversion"/>
  </si>
  <si>
    <t>기회2팀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</si>
  <si>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</si>
  <si>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</si>
  <si>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</si>
  <si>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기본급</t>
    <phoneticPr fontId="1" type="noConversion"/>
  </si>
  <si>
    <t>차량 5부제 시행 현황</t>
    <phoneticPr fontId="1" type="noConversion"/>
  </si>
  <si>
    <t>차량번호</t>
    <phoneticPr fontId="1" type="noConversion"/>
  </si>
  <si>
    <t>쉬는날</t>
    <phoneticPr fontId="1" type="noConversion"/>
  </si>
  <si>
    <t>O</t>
    <phoneticPr fontId="1" type="noConversion"/>
  </si>
  <si>
    <t>O</t>
    <phoneticPr fontId="1" type="noConversion"/>
  </si>
  <si>
    <t>정보통신학과 시험 성적 현황</t>
    <phoneticPr fontId="1" type="noConversion"/>
  </si>
  <si>
    <t>교실</t>
    <phoneticPr fontId="1" type="noConversion"/>
  </si>
  <si>
    <t>성명</t>
  </si>
  <si>
    <t>실용영어</t>
    <phoneticPr fontId="1" type="noConversion"/>
  </si>
  <si>
    <t>정보처리개론</t>
    <phoneticPr fontId="1" type="noConversion"/>
  </si>
  <si>
    <t>인터넷통신</t>
    <phoneticPr fontId="1" type="noConversion"/>
  </si>
  <si>
    <t>프로그래밍</t>
    <phoneticPr fontId="1" type="noConversion"/>
  </si>
  <si>
    <t>평균</t>
  </si>
  <si>
    <t>A반</t>
    <phoneticPr fontId="1" type="noConversion"/>
  </si>
  <si>
    <t>김선욱</t>
    <phoneticPr fontId="1" type="noConversion"/>
  </si>
  <si>
    <t>B반</t>
    <phoneticPr fontId="1" type="noConversion"/>
  </si>
  <si>
    <t>임상호</t>
    <phoneticPr fontId="1" type="noConversion"/>
  </si>
  <si>
    <t>A반</t>
    <phoneticPr fontId="1" type="noConversion"/>
  </si>
  <si>
    <t>최진경</t>
    <phoneticPr fontId="1" type="noConversion"/>
  </si>
  <si>
    <t>B반</t>
    <phoneticPr fontId="1" type="noConversion"/>
  </si>
  <si>
    <t>황미주</t>
    <phoneticPr fontId="1" type="noConversion"/>
  </si>
  <si>
    <t>C반</t>
    <phoneticPr fontId="1" type="noConversion"/>
  </si>
  <si>
    <t>김가경</t>
    <phoneticPr fontId="1" type="noConversion"/>
  </si>
  <si>
    <t>이원영</t>
    <phoneticPr fontId="1" type="noConversion"/>
  </si>
  <si>
    <t>최성철</t>
    <phoneticPr fontId="1" type="noConversion"/>
  </si>
  <si>
    <t>윤성완</t>
    <phoneticPr fontId="1" type="noConversion"/>
  </si>
  <si>
    <t>김은예</t>
    <phoneticPr fontId="1" type="noConversion"/>
  </si>
  <si>
    <t>2/4분기 아이스크림 판매 현황</t>
    <phoneticPr fontId="27" type="noConversion"/>
  </si>
  <si>
    <t>지역</t>
    <phoneticPr fontId="1" type="noConversion"/>
  </si>
  <si>
    <t>대리점코드</t>
    <phoneticPr fontId="1" type="noConversion"/>
  </si>
  <si>
    <t>제품명</t>
    <phoneticPr fontId="1" type="noConversion"/>
  </si>
  <si>
    <t>판매가격</t>
    <phoneticPr fontId="1" type="noConversion"/>
  </si>
  <si>
    <t>판매량</t>
    <phoneticPr fontId="1" type="noConversion"/>
  </si>
  <si>
    <t>판매금액</t>
    <phoneticPr fontId="1" type="noConversion"/>
  </si>
  <si>
    <t>서울</t>
    <phoneticPr fontId="1" type="noConversion"/>
  </si>
  <si>
    <t>S001</t>
    <phoneticPr fontId="1" type="noConversion"/>
  </si>
  <si>
    <t>수크리바</t>
    <phoneticPr fontId="1" type="noConversion"/>
  </si>
  <si>
    <t>부산</t>
    <phoneticPr fontId="1" type="noConversion"/>
  </si>
  <si>
    <t>B001</t>
    <phoneticPr fontId="1" type="noConversion"/>
  </si>
  <si>
    <t>빵빠레오</t>
    <phoneticPr fontId="1" type="noConversion"/>
  </si>
  <si>
    <t>충북</t>
    <phoneticPr fontId="1" type="noConversion"/>
  </si>
  <si>
    <t>C001</t>
    <phoneticPr fontId="1" type="noConversion"/>
  </si>
  <si>
    <t>강원도</t>
    <phoneticPr fontId="1" type="noConversion"/>
  </si>
  <si>
    <t>G001</t>
    <phoneticPr fontId="1" type="noConversion"/>
  </si>
  <si>
    <t>누구바</t>
    <phoneticPr fontId="1" type="noConversion"/>
  </si>
  <si>
    <t>S002</t>
    <phoneticPr fontId="1" type="noConversion"/>
  </si>
  <si>
    <t>더위사랑</t>
    <phoneticPr fontId="1" type="noConversion"/>
  </si>
  <si>
    <t>C002</t>
    <phoneticPr fontId="1" type="noConversion"/>
  </si>
  <si>
    <t>S003</t>
    <phoneticPr fontId="1" type="noConversion"/>
  </si>
  <si>
    <t>S004</t>
    <phoneticPr fontId="1" type="noConversion"/>
  </si>
  <si>
    <t>G002</t>
    <phoneticPr fontId="1" type="noConversion"/>
  </si>
  <si>
    <t>B002</t>
    <phoneticPr fontId="1" type="noConversion"/>
  </si>
  <si>
    <t>더위사랑</t>
    <phoneticPr fontId="1" type="noConversion"/>
  </si>
  <si>
    <t>C003</t>
    <phoneticPr fontId="1" type="noConversion"/>
  </si>
  <si>
    <t>B003</t>
    <phoneticPr fontId="1" type="noConversion"/>
  </si>
  <si>
    <t>수크리바</t>
    <phoneticPr fontId="1" type="noConversion"/>
  </si>
  <si>
    <t>G003</t>
    <phoneticPr fontId="1" type="noConversion"/>
  </si>
  <si>
    <t>B004</t>
    <phoneticPr fontId="1" type="noConversion"/>
  </si>
  <si>
    <t>C004</t>
    <phoneticPr fontId="1" type="noConversion"/>
  </si>
  <si>
    <t>G004</t>
    <phoneticPr fontId="1" type="noConversion"/>
  </si>
  <si>
    <t>[표1] 기풍의원</t>
    <phoneticPr fontId="1" type="noConversion"/>
  </si>
  <si>
    <t>환자명</t>
    <phoneticPr fontId="1" type="noConversion"/>
  </si>
  <si>
    <t>생년월일</t>
  </si>
  <si>
    <t>환자분류</t>
  </si>
  <si>
    <t>처방전번호</t>
  </si>
  <si>
    <t>조제일자</t>
    <phoneticPr fontId="1" type="noConversion"/>
  </si>
  <si>
    <t>약제비총액</t>
  </si>
  <si>
    <t>본인부담금</t>
  </si>
  <si>
    <t>김말자</t>
    <phoneticPr fontId="1" type="noConversion"/>
  </si>
  <si>
    <t>보험</t>
  </si>
  <si>
    <t>8K-23215</t>
  </si>
  <si>
    <t>이성진</t>
    <phoneticPr fontId="1" type="noConversion"/>
  </si>
  <si>
    <t>일반</t>
  </si>
  <si>
    <t>3K-12574</t>
  </si>
  <si>
    <t>임수경</t>
    <phoneticPr fontId="1" type="noConversion"/>
  </si>
  <si>
    <t>의료보험</t>
  </si>
  <si>
    <t>1K-67684</t>
  </si>
  <si>
    <t>양필수</t>
    <phoneticPr fontId="1" type="noConversion"/>
  </si>
  <si>
    <t>6K-12578</t>
  </si>
  <si>
    <t>최재현</t>
    <phoneticPr fontId="1" type="noConversion"/>
  </si>
  <si>
    <t>2K-12579</t>
  </si>
  <si>
    <t>강일진</t>
    <phoneticPr fontId="1" type="noConversion"/>
  </si>
  <si>
    <t>5K-12215</t>
  </si>
  <si>
    <t>성희민</t>
    <phoneticPr fontId="1" type="noConversion"/>
  </si>
  <si>
    <t>2K-12215</t>
  </si>
  <si>
    <t>임정신</t>
    <phoneticPr fontId="1" type="noConversion"/>
  </si>
  <si>
    <t>5K-59955</t>
  </si>
  <si>
    <t>양경진</t>
    <phoneticPr fontId="1" type="noConversion"/>
  </si>
  <si>
    <t>7K-67122</t>
  </si>
  <si>
    <t>조민정</t>
    <phoneticPr fontId="1" type="noConversion"/>
  </si>
  <si>
    <t>1K-59141</t>
  </si>
  <si>
    <t>이태현</t>
    <phoneticPr fontId="1" type="noConversion"/>
  </si>
  <si>
    <t>1K-67115</t>
  </si>
  <si>
    <t>김일택</t>
    <phoneticPr fontId="1" type="noConversion"/>
  </si>
  <si>
    <t>2K-12111</t>
  </si>
  <si>
    <t>강용민</t>
    <phoneticPr fontId="1" type="noConversion"/>
  </si>
  <si>
    <t>2K-12235</t>
  </si>
  <si>
    <t>김호영</t>
    <phoneticPr fontId="1" type="noConversion"/>
  </si>
  <si>
    <t>4K-59227</t>
  </si>
  <si>
    <t>유인선</t>
    <phoneticPr fontId="1" type="noConversion"/>
  </si>
  <si>
    <t>2K-23932</t>
  </si>
  <si>
    <t>한정기</t>
    <phoneticPr fontId="1" type="noConversion"/>
  </si>
  <si>
    <t>1K-27512</t>
  </si>
  <si>
    <t>민상철</t>
    <phoneticPr fontId="1" type="noConversion"/>
  </si>
  <si>
    <t>7K-12228</t>
  </si>
  <si>
    <t>이숙경</t>
    <phoneticPr fontId="1" type="noConversion"/>
  </si>
  <si>
    <t>4K-27659</t>
  </si>
  <si>
    <t>프로야구 2021~2022</t>
    <phoneticPr fontId="1" type="noConversion"/>
  </si>
  <si>
    <t>번호</t>
    <phoneticPr fontId="1" type="noConversion"/>
  </si>
  <si>
    <t>팀</t>
  </si>
  <si>
    <r>
      <t>2021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1" type="noConversion"/>
  </si>
  <si>
    <r>
      <t>2022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1" type="noConversion"/>
  </si>
  <si>
    <t>KIA</t>
  </si>
  <si>
    <t>KT</t>
  </si>
  <si>
    <t>LG</t>
  </si>
  <si>
    <t>NC</t>
  </si>
  <si>
    <t>SSG</t>
  </si>
  <si>
    <t>두산</t>
  </si>
  <si>
    <t>롯데</t>
  </si>
  <si>
    <t>삼성</t>
  </si>
  <si>
    <t>키움</t>
  </si>
  <si>
    <t>한화</t>
  </si>
  <si>
    <t>컴퓨터활용 성적</t>
    <phoneticPr fontId="1" type="noConversion"/>
  </si>
  <si>
    <t>학번</t>
    <phoneticPr fontId="1" type="noConversion"/>
  </si>
  <si>
    <t>이름</t>
    <phoneticPr fontId="1" type="noConversion"/>
  </si>
  <si>
    <t>중간</t>
    <phoneticPr fontId="1" type="noConversion"/>
  </si>
  <si>
    <t>중간(40)</t>
    <phoneticPr fontId="1" type="noConversion"/>
  </si>
  <si>
    <t>기말</t>
    <phoneticPr fontId="1" type="noConversion"/>
  </si>
  <si>
    <t>기말(40)</t>
    <phoneticPr fontId="1" type="noConversion"/>
  </si>
  <si>
    <t>출석(20)</t>
    <phoneticPr fontId="1" type="noConversion"/>
  </si>
  <si>
    <t>합계</t>
    <phoneticPr fontId="1" type="noConversion"/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</si>
  <si>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</si>
  <si>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</si>
  <si>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</si>
  <si>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</si>
  <si>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</si>
  <si>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</si>
  <si>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</si>
  <si>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</si>
  <si>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</si>
  <si>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</si>
  <si>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</si>
  <si>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</si>
  <si>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</si>
  <si>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</si>
  <si>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</si>
  <si>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상공상사 3월분 급여지급명세서</t>
    <phoneticPr fontId="1" type="noConversion"/>
  </si>
  <si>
    <t>사번</t>
    <phoneticPr fontId="1" type="noConversion"/>
  </si>
  <si>
    <t>성명</t>
    <phoneticPr fontId="1" type="noConversion"/>
  </si>
  <si>
    <t>직위</t>
    <phoneticPr fontId="1" type="noConversion"/>
  </si>
  <si>
    <t>제수당</t>
    <phoneticPr fontId="1" type="noConversion"/>
  </si>
  <si>
    <t>상여금</t>
    <phoneticPr fontId="1" type="noConversion"/>
  </si>
  <si>
    <t>총급여</t>
    <phoneticPr fontId="1" type="noConversion"/>
  </si>
  <si>
    <t>SJ01-023</t>
    <phoneticPr fontId="1" type="noConversion"/>
  </si>
  <si>
    <t>민제필</t>
    <phoneticPr fontId="1" type="noConversion"/>
  </si>
  <si>
    <t>부장</t>
    <phoneticPr fontId="1" type="noConversion"/>
  </si>
  <si>
    <t>SJ04-012</t>
    <phoneticPr fontId="1" type="noConversion"/>
  </si>
  <si>
    <t>나일형</t>
    <phoneticPr fontId="1" type="noConversion"/>
  </si>
  <si>
    <t>SJ11-002</t>
    <phoneticPr fontId="1" type="noConversion"/>
  </si>
  <si>
    <t>제선영</t>
    <phoneticPr fontId="1" type="noConversion"/>
  </si>
  <si>
    <t>주임</t>
    <phoneticPr fontId="1" type="noConversion"/>
  </si>
  <si>
    <t>SJ10-021</t>
    <phoneticPr fontId="1" type="noConversion"/>
  </si>
  <si>
    <t>박민준</t>
    <phoneticPr fontId="1" type="noConversion"/>
  </si>
  <si>
    <t>대리</t>
  </si>
  <si>
    <t>SJ09-015</t>
    <phoneticPr fontId="1" type="noConversion"/>
  </si>
  <si>
    <t>최세연</t>
    <phoneticPr fontId="1" type="noConversion"/>
  </si>
  <si>
    <t>SJ13-007</t>
    <phoneticPr fontId="1" type="noConversion"/>
  </si>
  <si>
    <t>장태현</t>
    <phoneticPr fontId="1" type="noConversion"/>
  </si>
  <si>
    <t>사원</t>
    <phoneticPr fontId="1" type="noConversion"/>
  </si>
  <si>
    <t>SJ06-019</t>
    <phoneticPr fontId="1" type="noConversion"/>
  </si>
  <si>
    <t>추양선</t>
    <phoneticPr fontId="1" type="noConversion"/>
  </si>
  <si>
    <t>SJ08-004</t>
    <phoneticPr fontId="1" type="noConversion"/>
  </si>
  <si>
    <t>피종현</t>
    <phoneticPr fontId="1" type="noConversion"/>
  </si>
  <si>
    <t>SJ12-031</t>
    <phoneticPr fontId="1" type="noConversion"/>
  </si>
  <si>
    <t>김나리</t>
    <phoneticPr fontId="1" type="noConversion"/>
  </si>
  <si>
    <t>주임</t>
    <phoneticPr fontId="1" type="noConversion"/>
  </si>
  <si>
    <t>SJ12-012</t>
    <phoneticPr fontId="1" type="noConversion"/>
  </si>
  <si>
    <t>이정선</t>
    <phoneticPr fontId="1" type="noConversion"/>
  </si>
  <si>
    <t>SJ13-003</t>
    <phoneticPr fontId="1" type="noConversion"/>
  </si>
  <si>
    <t>박청국</t>
    <phoneticPr fontId="1" type="noConversion"/>
  </si>
  <si>
    <t>주임</t>
  </si>
  <si>
    <t>SJ09-001</t>
    <phoneticPr fontId="1" type="noConversion"/>
  </si>
  <si>
    <t>김평순</t>
    <phoneticPr fontId="1" type="noConversion"/>
  </si>
  <si>
    <t>대리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</si>
</sst>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2" formatCode="_-&quot;₩&quot;* #,##0_-;\-&quot;₩&quot;* #,##0_-;_-&quot;₩&quot;* &quot;-&quot;_-;_-@_-"/>
    <numFmt numFmtId="41" formatCode="_-* #,##0_-;\-* #,##0_-;_-* &quot;-&quot;_-;_-@_-"/>
    <numFmt numFmtId="177" formatCode="0.0%"/>
  </numFmts>
  <fonts count="3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name val="돋움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2"/>
      <charset val="129"/>
      <scheme val="minor"/>
    </font>
    <font>
      <sz val="11"/>
      <name val="Arial"/>
      <family val="2"/>
    </font>
    <font>
      <b/>
      <sz val="11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0" borderId="1" applyNumberFormat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4" fillId="21" borderId="2" applyNumberFormat="0" applyFont="0" applyAlignment="0" applyProtection="0">
      <alignment vertical="center"/>
    </xf>
    <xf numFmtId="9" fontId="9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3" borderId="3" applyNumberFormat="0" applyAlignment="0" applyProtection="0">
      <alignment vertical="center"/>
    </xf>
    <xf numFmtId="41" fontId="9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7" borderId="1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1" fillId="20" borderId="9" applyNumberFormat="0" applyAlignment="0" applyProtection="0">
      <alignment vertical="center"/>
    </xf>
    <xf numFmtId="42" fontId="9" fillId="0" borderId="0" applyFont="0" applyFill="0" applyBorder="0" applyAlignment="0" applyProtection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9" fillId="0" borderId="0">
      <alignment vertical="center"/>
    </xf>
  </cellStyleXfs>
  <cellXfs count="25">
    <xf numFmtId="0" fontId="0" fillId="0" borderId="0" xfId="0">
      <alignment vertical="center"/>
    </xf>
    <xf numFmtId="0" fontId="22" fillId="0" borderId="0" xfId="0" applyFont="1">
      <alignment vertical="center"/>
    </xf>
    <xf numFmtId="0" fontId="0" fillId="0" borderId="0" xfId="0">
      <alignment vertical="center"/>
    </xf>
    <xf numFmtId="0" fontId="0" fillId="0" borderId="10" xfId="0" applyBorder="1" applyAlignment="1">
      <alignment horizontal="center" vertical="center"/>
    </xf>
    <xf numFmtId="0" fontId="24" fillId="0" borderId="0" xfId="0" applyFont="1">
      <alignment vertical="center"/>
    </xf>
    <xf numFmtId="41" fontId="0" fillId="0" borderId="10" xfId="1" applyFont="1" applyBorder="1" applyAlignment="1">
      <alignment horizontal="center" vertical="center"/>
    </xf>
    <xf numFmtId="41" fontId="0" fillId="0" borderId="10" xfId="1" applyFont="1" applyBorder="1">
      <alignment vertical="center"/>
    </xf>
    <xf numFmtId="0" fontId="0" fillId="0" borderId="0" xfId="0">
      <alignment vertical="center"/>
    </xf>
    <xf numFmtId="0" fontId="2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41" fontId="24" fillId="0" borderId="10" xfId="1" applyFont="1" applyBorder="1">
      <alignment vertical="center"/>
    </xf>
    <xf numFmtId="14" fontId="0" fillId="0" borderId="10" xfId="0" applyNumberForma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10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/>
    </xf>
    <xf numFmtId="177" fontId="29" fillId="0" borderId="10" xfId="50" applyNumberFormat="1" applyFont="1" applyBorder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30" fillId="0" borderId="0" xfId="0" applyFont="1" applyAlignment="1">
      <alignment vertical="center" wrapText="1"/>
    </xf>
    <xf numFmtId="0" fontId="26" fillId="0" borderId="0" xfId="51" applyFont="1" applyAlignment="1"/>
    <xf numFmtId="0" fontId="2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22" fillId="0" borderId="10" xfId="0" applyFont="1" applyBorder="1" applyAlignment="1">
      <alignment horizontal="center" vertical="center"/>
    </xf>
  </cellXfs>
  <cellStyles count="52">
    <cellStyle name="20% - 강조색1 2" xfId="3"/>
    <cellStyle name="20% - 강조색2 2" xfId="4"/>
    <cellStyle name="20% - 강조색3 2" xfId="5"/>
    <cellStyle name="20% - 강조색4 2" xfId="6"/>
    <cellStyle name="20% - 강조색5 2" xfId="7"/>
    <cellStyle name="20% - 강조색6 2" xfId="8"/>
    <cellStyle name="40% - 강조색1 2" xfId="9"/>
    <cellStyle name="40% - 강조색2 2" xfId="10"/>
    <cellStyle name="40% - 강조색3 2" xfId="11"/>
    <cellStyle name="40% - 강조색4 2" xfId="12"/>
    <cellStyle name="40% - 강조색5 2" xfId="13"/>
    <cellStyle name="40% - 강조색6 2" xfId="14"/>
    <cellStyle name="60% - 강조색1 2" xfId="15"/>
    <cellStyle name="60% - 강조색2 2" xfId="16"/>
    <cellStyle name="60% - 강조색3 2" xfId="17"/>
    <cellStyle name="60% - 강조색4 2" xfId="18"/>
    <cellStyle name="60% - 강조색5 2" xfId="19"/>
    <cellStyle name="60% - 강조색6 2" xfId="20"/>
    <cellStyle name="강조색1 2" xfId="21"/>
    <cellStyle name="강조색2 2" xfId="22"/>
    <cellStyle name="강조색3 2" xfId="23"/>
    <cellStyle name="강조색4 2" xfId="24"/>
    <cellStyle name="강조색5 2" xfId="25"/>
    <cellStyle name="강조색6 2" xfId="26"/>
    <cellStyle name="경고문 2" xfId="27"/>
    <cellStyle name="계산 2" xfId="28"/>
    <cellStyle name="나쁨 2" xfId="29"/>
    <cellStyle name="메모 2" xfId="30"/>
    <cellStyle name="백분율" xfId="50" builtinId="5"/>
    <cellStyle name="백분율 2" xfId="31"/>
    <cellStyle name="백분율 3" xfId="32"/>
    <cellStyle name="보통 2" xfId="33"/>
    <cellStyle name="설명 텍스트 2" xfId="34"/>
    <cellStyle name="셀 확인 2" xfId="35"/>
    <cellStyle name="쉼표 [0]" xfId="1" builtinId="6"/>
    <cellStyle name="쉼표 [0] 2" xfId="36"/>
    <cellStyle name="쉼표 [0] 3" xfId="37"/>
    <cellStyle name="연결된 셀 2" xfId="38"/>
    <cellStyle name="요약 2" xfId="39"/>
    <cellStyle name="입력 2" xfId="40"/>
    <cellStyle name="제목 1 2" xfId="41"/>
    <cellStyle name="제목 2 2" xfId="42"/>
    <cellStyle name="제목 3 2" xfId="43"/>
    <cellStyle name="제목 4 2" xfId="44"/>
    <cellStyle name="제목 5" xfId="45"/>
    <cellStyle name="좋음 2" xfId="46"/>
    <cellStyle name="출력 2" xfId="47"/>
    <cellStyle name="통화 [0] 2" xfId="48"/>
    <cellStyle name="표준" xfId="0" builtinId="0"/>
    <cellStyle name="표준 2" xfId="2"/>
    <cellStyle name="표준 2 2" xfId="51"/>
    <cellStyle name="표준 3" xfId="4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Documents/01_&#51473;&#50836;&#51088;&#47308;/04_&#52980;&#54876;2&#44553;&#49892;&#44592;/01_&#44592;&#52636;&#47928;&#51228;%20&#49884;&#47532;&#51592;/16_2021_&#49345;&#49884;%202&#54924;/01_&#52980;&#54876;2&#44553;&#49892;&#44592;(&#49828;&#54532;&#47112;&#46300;&#49884;&#53944;)&#49345;&#49884;&#47928;&#51228;&#54400;&#51060;_2021&#45380;2&#54924;_&#47928;&#512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Documents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"/>
  <sheetViews>
    <sheetView workbookViewId="0">
      <selection activeCell="D29" sqref="D29"/>
    </sheetView>
  </sheetViews>
  <sheetFormatPr defaultColWidth="9" defaultRowHeight="16.899999999999999"/>
  <cols>
    <col min="1" max="16384" width="9" style="2"/>
  </cols>
  <sheetData>
    <row r="1" spans="1:7" ht="20.65">
      <c r="A1" s="8" t="s">
        <v>7</v>
      </c>
      <c r="B1" s="8"/>
      <c r="C1" s="8"/>
      <c r="D1" s="8"/>
      <c r="E1" s="8"/>
      <c r="F1" s="8"/>
      <c r="G1" s="8"/>
    </row>
    <row r="3" spans="1:7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7">
      <c r="A4" s="3" t="s">
        <v>15</v>
      </c>
      <c r="B4" s="3" t="s">
        <v>26</v>
      </c>
      <c r="C4" s="3">
        <v>85</v>
      </c>
      <c r="D4" s="3">
        <v>82</v>
      </c>
      <c r="E4" s="3">
        <v>84</v>
      </c>
      <c r="F4" s="3">
        <v>85</v>
      </c>
      <c r="G4" s="3">
        <v>336</v>
      </c>
    </row>
    <row r="5" spans="1:7">
      <c r="A5" s="3" t="s">
        <v>9</v>
      </c>
      <c r="B5" s="3" t="s">
        <v>23</v>
      </c>
      <c r="C5" s="3">
        <v>94</v>
      </c>
      <c r="D5" s="3">
        <v>96</v>
      </c>
      <c r="E5" s="3">
        <v>95</v>
      </c>
      <c r="F5" s="3">
        <v>95</v>
      </c>
      <c r="G5" s="3">
        <v>380</v>
      </c>
    </row>
    <row r="6" spans="1:7">
      <c r="A6" s="3" t="s">
        <v>14</v>
      </c>
      <c r="B6" s="3" t="s">
        <v>27</v>
      </c>
      <c r="C6" s="3">
        <v>86</v>
      </c>
      <c r="D6" s="3">
        <v>84</v>
      </c>
      <c r="E6" s="3">
        <v>85</v>
      </c>
      <c r="F6" s="3">
        <v>86</v>
      </c>
      <c r="G6" s="3">
        <v>341</v>
      </c>
    </row>
    <row r="7" spans="1:7">
      <c r="A7" s="3" t="s">
        <v>18</v>
      </c>
      <c r="B7" s="3" t="s">
        <v>26</v>
      </c>
      <c r="C7" s="3">
        <v>76</v>
      </c>
      <c r="D7" s="3">
        <v>75</v>
      </c>
      <c r="E7" s="3">
        <v>70</v>
      </c>
      <c r="F7" s="3">
        <v>74</v>
      </c>
      <c r="G7" s="3">
        <v>295</v>
      </c>
    </row>
    <row r="8" spans="1:7">
      <c r="A8" s="3" t="s">
        <v>11</v>
      </c>
      <c r="B8" s="3" t="s">
        <v>25</v>
      </c>
      <c r="C8" s="3">
        <v>94</v>
      </c>
      <c r="D8" s="3">
        <v>90</v>
      </c>
      <c r="E8" s="3">
        <v>92</v>
      </c>
      <c r="F8" s="3">
        <v>93</v>
      </c>
      <c r="G8" s="3">
        <v>369</v>
      </c>
    </row>
    <row r="9" spans="1:7">
      <c r="A9" s="3" t="s">
        <v>16</v>
      </c>
      <c r="B9" s="3" t="s">
        <v>26</v>
      </c>
      <c r="C9" s="3">
        <v>79</v>
      </c>
      <c r="D9" s="3">
        <v>86</v>
      </c>
      <c r="E9" s="3">
        <v>83</v>
      </c>
      <c r="F9" s="3">
        <v>81</v>
      </c>
      <c r="G9" s="3">
        <v>329</v>
      </c>
    </row>
    <row r="10" spans="1:7">
      <c r="A10" s="3" t="s">
        <v>22</v>
      </c>
      <c r="B10" s="3" t="s">
        <v>24</v>
      </c>
      <c r="C10" s="3">
        <v>68</v>
      </c>
      <c r="D10" s="3">
        <v>69</v>
      </c>
      <c r="E10" s="3">
        <v>60</v>
      </c>
      <c r="F10" s="3">
        <v>58</v>
      </c>
      <c r="G10" s="3">
        <v>255</v>
      </c>
    </row>
    <row r="11" spans="1:7">
      <c r="A11" s="3" t="s">
        <v>12</v>
      </c>
      <c r="B11" s="3" t="s">
        <v>23</v>
      </c>
      <c r="C11" s="3">
        <v>89</v>
      </c>
      <c r="D11" s="3">
        <v>82</v>
      </c>
      <c r="E11" s="3">
        <v>86</v>
      </c>
      <c r="F11" s="3">
        <v>88</v>
      </c>
      <c r="G11" s="3">
        <v>345</v>
      </c>
    </row>
    <row r="12" spans="1:7">
      <c r="A12" s="3" t="s">
        <v>20</v>
      </c>
      <c r="B12" s="3" t="s">
        <v>28</v>
      </c>
      <c r="C12" s="3">
        <v>77</v>
      </c>
      <c r="D12" s="3">
        <v>66</v>
      </c>
      <c r="E12" s="3">
        <v>72</v>
      </c>
      <c r="F12" s="3">
        <v>78</v>
      </c>
      <c r="G12" s="3">
        <v>293</v>
      </c>
    </row>
    <row r="13" spans="1:7">
      <c r="A13" s="3" t="s">
        <v>8</v>
      </c>
      <c r="B13" s="3" t="s">
        <v>25</v>
      </c>
      <c r="C13" s="3">
        <v>97</v>
      </c>
      <c r="D13" s="3">
        <v>97</v>
      </c>
      <c r="E13" s="3">
        <v>94</v>
      </c>
      <c r="F13" s="3">
        <v>96</v>
      </c>
      <c r="G13" s="3">
        <v>384</v>
      </c>
    </row>
    <row r="14" spans="1:7">
      <c r="A14" s="3" t="s">
        <v>19</v>
      </c>
      <c r="B14" s="3" t="s">
        <v>28</v>
      </c>
      <c r="C14" s="3">
        <v>80</v>
      </c>
      <c r="D14" s="3">
        <v>68</v>
      </c>
      <c r="E14" s="3">
        <v>65</v>
      </c>
      <c r="F14" s="3">
        <v>81</v>
      </c>
      <c r="G14" s="3">
        <v>294</v>
      </c>
    </row>
    <row r="15" spans="1:7">
      <c r="A15" s="3" t="s">
        <v>17</v>
      </c>
      <c r="B15" s="3" t="s">
        <v>27</v>
      </c>
      <c r="C15" s="3">
        <v>75</v>
      </c>
      <c r="D15" s="3">
        <v>70</v>
      </c>
      <c r="E15" s="3">
        <v>71</v>
      </c>
      <c r="F15" s="3">
        <v>79</v>
      </c>
      <c r="G15" s="3">
        <v>295</v>
      </c>
    </row>
    <row r="16" spans="1:7">
      <c r="A16" s="3" t="s">
        <v>13</v>
      </c>
      <c r="B16" s="3" t="s">
        <v>24</v>
      </c>
      <c r="C16" s="3">
        <v>86</v>
      </c>
      <c r="D16" s="3">
        <v>84</v>
      </c>
      <c r="E16" s="3">
        <v>85</v>
      </c>
      <c r="F16" s="3">
        <v>86</v>
      </c>
      <c r="G16" s="3">
        <v>341</v>
      </c>
    </row>
    <row r="17" spans="1:7">
      <c r="A17" s="3" t="s">
        <v>21</v>
      </c>
      <c r="B17" s="3" t="s">
        <v>28</v>
      </c>
      <c r="C17" s="3">
        <v>68</v>
      </c>
      <c r="D17" s="3">
        <v>70</v>
      </c>
      <c r="E17" s="3">
        <v>69</v>
      </c>
      <c r="F17" s="3">
        <v>69</v>
      </c>
      <c r="G17" s="3">
        <v>276</v>
      </c>
    </row>
    <row r="18" spans="1:7">
      <c r="A18" s="3" t="s">
        <v>10</v>
      </c>
      <c r="B18" s="3" t="s">
        <v>23</v>
      </c>
      <c r="C18" s="3">
        <v>93</v>
      </c>
      <c r="D18" s="3">
        <v>96</v>
      </c>
      <c r="E18" s="3">
        <v>95</v>
      </c>
      <c r="F18" s="3">
        <v>94</v>
      </c>
      <c r="G18" s="3">
        <v>378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6"/>
  <sheetViews>
    <sheetView workbookViewId="0">
      <selection sqref="A1:K1"/>
    </sheetView>
  </sheetViews>
  <sheetFormatPr defaultRowHeight="16.899999999999999"/>
  <cols>
    <col min="1" max="1" width="9" style="7"/>
    <col min="2" max="11" width="5.625" style="7" customWidth="1"/>
    <col min="12" max="16384" width="9" style="7"/>
  </cols>
  <sheetData>
    <row r="1" spans="1:11" ht="20.65">
      <c r="A1" s="8" t="s">
        <v>33</v>
      </c>
      <c r="B1" s="8"/>
      <c r="C1" s="8"/>
      <c r="D1" s="8"/>
      <c r="E1" s="8"/>
      <c r="F1" s="8"/>
      <c r="G1" s="8"/>
      <c r="H1" s="8"/>
      <c r="I1" s="8"/>
      <c r="J1" s="8"/>
      <c r="K1" s="8"/>
    </row>
    <row r="3" spans="1:11">
      <c r="A3" s="9" t="s">
        <v>34</v>
      </c>
      <c r="B3" s="9" t="s">
        <v>35</v>
      </c>
      <c r="C3" s="9"/>
      <c r="D3" s="9"/>
      <c r="E3" s="9"/>
      <c r="F3" s="9"/>
      <c r="G3" s="9"/>
      <c r="H3" s="9"/>
      <c r="I3" s="9"/>
      <c r="J3" s="9"/>
      <c r="K3" s="9"/>
    </row>
    <row r="4" spans="1:11">
      <c r="A4" s="9"/>
      <c r="B4" s="3">
        <v>0</v>
      </c>
      <c r="C4" s="3">
        <v>1</v>
      </c>
      <c r="D4" s="3">
        <v>2</v>
      </c>
      <c r="E4" s="3">
        <v>3</v>
      </c>
      <c r="F4" s="3">
        <v>4</v>
      </c>
      <c r="G4" s="3">
        <v>5</v>
      </c>
      <c r="H4" s="3">
        <v>6</v>
      </c>
      <c r="I4" s="3">
        <v>7</v>
      </c>
      <c r="J4" s="3">
        <v>8</v>
      </c>
      <c r="K4" s="3">
        <v>9</v>
      </c>
    </row>
    <row r="5" spans="1:11">
      <c r="A5" s="3">
        <v>7570</v>
      </c>
      <c r="B5" s="3" t="s">
        <v>36</v>
      </c>
      <c r="C5" s="3"/>
      <c r="D5" s="3" t="s">
        <v>36</v>
      </c>
      <c r="E5" s="3"/>
      <c r="F5" s="3" t="s">
        <v>36</v>
      </c>
      <c r="G5" s="3"/>
      <c r="H5" s="3" t="s">
        <v>37</v>
      </c>
      <c r="I5" s="3"/>
      <c r="J5" s="3" t="s">
        <v>36</v>
      </c>
      <c r="K5" s="3"/>
    </row>
    <row r="6" spans="1:11">
      <c r="A6" s="3">
        <v>4889</v>
      </c>
      <c r="B6" s="3"/>
      <c r="C6" s="3" t="s">
        <v>37</v>
      </c>
      <c r="D6" s="3"/>
      <c r="E6" s="3" t="s">
        <v>37</v>
      </c>
      <c r="F6" s="3"/>
      <c r="G6" s="3" t="s">
        <v>37</v>
      </c>
      <c r="H6" s="3"/>
      <c r="I6" s="3" t="s">
        <v>36</v>
      </c>
      <c r="J6" s="3"/>
      <c r="K6" s="3" t="s">
        <v>36</v>
      </c>
    </row>
    <row r="7" spans="1:11">
      <c r="A7" s="3">
        <v>5076</v>
      </c>
      <c r="B7" s="3" t="s">
        <v>36</v>
      </c>
      <c r="C7" s="3"/>
      <c r="D7" s="3" t="s">
        <v>37</v>
      </c>
      <c r="E7" s="3"/>
      <c r="F7" s="3" t="s">
        <v>37</v>
      </c>
      <c r="G7" s="3"/>
      <c r="H7" s="3" t="s">
        <v>36</v>
      </c>
      <c r="I7" s="3"/>
      <c r="J7" s="3" t="s">
        <v>36</v>
      </c>
      <c r="K7" s="3"/>
    </row>
    <row r="8" spans="1:11">
      <c r="A8" s="3">
        <v>7257</v>
      </c>
      <c r="B8" s="3"/>
      <c r="C8" s="3" t="s">
        <v>36</v>
      </c>
      <c r="D8" s="3"/>
      <c r="E8" s="3" t="s">
        <v>37</v>
      </c>
      <c r="F8" s="3"/>
      <c r="G8" s="3" t="s">
        <v>36</v>
      </c>
      <c r="H8" s="3"/>
      <c r="I8" s="3" t="s">
        <v>37</v>
      </c>
      <c r="J8" s="3"/>
      <c r="K8" s="3" t="s">
        <v>37</v>
      </c>
    </row>
    <row r="9" spans="1:11">
      <c r="A9" s="3">
        <v>8222</v>
      </c>
      <c r="B9" s="3" t="s">
        <v>37</v>
      </c>
      <c r="C9" s="3"/>
      <c r="D9" s="3" t="s">
        <v>37</v>
      </c>
      <c r="E9" s="3"/>
      <c r="F9" s="3" t="s">
        <v>36</v>
      </c>
      <c r="G9" s="3"/>
      <c r="H9" s="3" t="s">
        <v>37</v>
      </c>
      <c r="I9" s="3"/>
      <c r="J9" s="3" t="s">
        <v>37</v>
      </c>
      <c r="K9" s="3"/>
    </row>
    <row r="10" spans="1:11">
      <c r="A10" s="3">
        <v>2008</v>
      </c>
      <c r="B10" s="3" t="s">
        <v>36</v>
      </c>
      <c r="C10" s="3"/>
      <c r="D10" s="3" t="s">
        <v>37</v>
      </c>
      <c r="E10" s="3"/>
      <c r="F10" s="3" t="s">
        <v>37</v>
      </c>
      <c r="G10" s="3"/>
      <c r="H10" s="3" t="s">
        <v>37</v>
      </c>
      <c r="I10" s="3"/>
      <c r="J10" s="3" t="s">
        <v>37</v>
      </c>
      <c r="K10" s="3"/>
    </row>
    <row r="11" spans="1:11">
      <c r="A11" s="3">
        <v>9033</v>
      </c>
      <c r="B11" s="3"/>
      <c r="C11" s="3" t="s">
        <v>36</v>
      </c>
      <c r="D11" s="3"/>
      <c r="E11" s="3" t="s">
        <v>37</v>
      </c>
      <c r="F11" s="3"/>
      <c r="G11" s="3" t="s">
        <v>37</v>
      </c>
      <c r="H11" s="3"/>
      <c r="I11" s="3" t="s">
        <v>37</v>
      </c>
      <c r="J11" s="3"/>
      <c r="K11" s="3" t="s">
        <v>36</v>
      </c>
    </row>
    <row r="12" spans="1:11">
      <c r="A12" s="3">
        <v>5574</v>
      </c>
      <c r="B12" s="3" t="s">
        <v>37</v>
      </c>
      <c r="C12" s="3"/>
      <c r="D12" s="3" t="s">
        <v>37</v>
      </c>
      <c r="E12" s="3"/>
      <c r="F12" s="3" t="s">
        <v>37</v>
      </c>
      <c r="G12" s="3"/>
      <c r="H12" s="3" t="s">
        <v>37</v>
      </c>
      <c r="I12" s="3"/>
      <c r="J12" s="3" t="s">
        <v>36</v>
      </c>
      <c r="K12" s="3"/>
    </row>
    <row r="13" spans="1:11">
      <c r="A13" s="3">
        <v>2917</v>
      </c>
      <c r="B13" s="3"/>
      <c r="C13" s="3" t="s">
        <v>37</v>
      </c>
      <c r="D13" s="3"/>
      <c r="E13" s="3" t="s">
        <v>37</v>
      </c>
      <c r="F13" s="3"/>
      <c r="G13" s="3" t="s">
        <v>37</v>
      </c>
      <c r="H13" s="3"/>
      <c r="I13" s="3" t="s">
        <v>37</v>
      </c>
      <c r="J13" s="3"/>
      <c r="K13" s="3" t="s">
        <v>36</v>
      </c>
    </row>
    <row r="14" spans="1:11">
      <c r="A14" s="3">
        <v>3763</v>
      </c>
      <c r="B14" s="3"/>
      <c r="C14" s="3" t="s">
        <v>37</v>
      </c>
      <c r="D14" s="3"/>
      <c r="E14" s="3" t="s">
        <v>37</v>
      </c>
      <c r="F14" s="3"/>
      <c r="G14" s="3" t="s">
        <v>37</v>
      </c>
      <c r="H14" s="3"/>
      <c r="I14" s="3" t="s">
        <v>37</v>
      </c>
      <c r="J14" s="3"/>
      <c r="K14" s="3" t="s">
        <v>37</v>
      </c>
    </row>
    <row r="15" spans="1:11">
      <c r="A15" s="3">
        <v>9452</v>
      </c>
      <c r="B15" s="3" t="s">
        <v>37</v>
      </c>
      <c r="C15" s="3"/>
      <c r="D15" s="3" t="s">
        <v>37</v>
      </c>
      <c r="E15" s="3"/>
      <c r="F15" s="3" t="s">
        <v>37</v>
      </c>
      <c r="G15" s="3"/>
      <c r="H15" s="3" t="s">
        <v>37</v>
      </c>
      <c r="I15" s="3"/>
      <c r="J15" s="3" t="s">
        <v>37</v>
      </c>
      <c r="K15" s="3"/>
    </row>
    <row r="16" spans="1:11">
      <c r="A16" s="3">
        <v>5005</v>
      </c>
      <c r="B16" s="3"/>
      <c r="C16" s="3" t="s">
        <v>37</v>
      </c>
      <c r="D16" s="3"/>
      <c r="E16" s="3" t="s">
        <v>37</v>
      </c>
      <c r="F16" s="3"/>
      <c r="G16" s="3" t="s">
        <v>37</v>
      </c>
      <c r="H16" s="3"/>
      <c r="I16" s="3" t="s">
        <v>37</v>
      </c>
      <c r="J16" s="3"/>
      <c r="K16" s="3" t="s">
        <v>36</v>
      </c>
    </row>
  </sheetData>
  <mergeCells count="3">
    <mergeCell ref="A1:K1"/>
    <mergeCell ref="A3:A4"/>
    <mergeCell ref="B3:K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>
      <selection activeCell="E11" sqref="E11"/>
    </sheetView>
  </sheetViews>
  <sheetFormatPr defaultRowHeight="16.899999999999999"/>
  <cols>
    <col min="1" max="3" width="9" style="7"/>
    <col min="4" max="4" width="13" style="7" bestFit="1" customWidth="1"/>
    <col min="5" max="6" width="11" style="7" bestFit="1" customWidth="1"/>
    <col min="7" max="16384" width="9" style="7"/>
  </cols>
  <sheetData>
    <row r="1" spans="1:8" ht="24.75">
      <c r="A1" s="10" t="s">
        <v>38</v>
      </c>
      <c r="B1" s="10"/>
      <c r="C1" s="10"/>
      <c r="D1" s="10"/>
      <c r="E1" s="10"/>
      <c r="F1" s="10"/>
      <c r="G1" s="10"/>
      <c r="H1" s="10"/>
    </row>
    <row r="3" spans="1:8">
      <c r="A3" s="3" t="s">
        <v>39</v>
      </c>
      <c r="B3" s="3" t="s">
        <v>40</v>
      </c>
      <c r="C3" s="3" t="s">
        <v>41</v>
      </c>
      <c r="D3" s="3" t="s">
        <v>42</v>
      </c>
      <c r="E3" s="3" t="s">
        <v>43</v>
      </c>
      <c r="F3" s="3" t="s">
        <v>44</v>
      </c>
      <c r="G3" s="3" t="s">
        <v>6</v>
      </c>
      <c r="H3" s="3" t="s">
        <v>45</v>
      </c>
    </row>
    <row r="4" spans="1:8">
      <c r="A4" s="3" t="s">
        <v>46</v>
      </c>
      <c r="B4" s="3" t="s">
        <v>47</v>
      </c>
      <c r="C4" s="3">
        <v>92</v>
      </c>
      <c r="D4" s="3">
        <v>88</v>
      </c>
      <c r="E4" s="3">
        <v>87</v>
      </c>
      <c r="F4" s="3">
        <v>96</v>
      </c>
      <c r="G4" s="3">
        <f>SUM(C4:F4)</f>
        <v>363</v>
      </c>
      <c r="H4" s="3">
        <f>AVERAGE(C4:F4)</f>
        <v>90.75</v>
      </c>
    </row>
    <row r="5" spans="1:8">
      <c r="A5" s="3" t="s">
        <v>48</v>
      </c>
      <c r="B5" s="3" t="s">
        <v>49</v>
      </c>
      <c r="C5" s="3">
        <v>96</v>
      </c>
      <c r="D5" s="3">
        <v>77</v>
      </c>
      <c r="E5" s="3">
        <v>45</v>
      </c>
      <c r="F5" s="3">
        <v>98</v>
      </c>
      <c r="G5" s="3">
        <f t="shared" ref="G5:G12" si="0">SUM(C5:F5)</f>
        <v>316</v>
      </c>
      <c r="H5" s="3">
        <f t="shared" ref="H5:H12" si="1">AVERAGE(C5:F5)</f>
        <v>79</v>
      </c>
    </row>
    <row r="6" spans="1:8">
      <c r="A6" s="3" t="s">
        <v>50</v>
      </c>
      <c r="B6" s="3" t="s">
        <v>51</v>
      </c>
      <c r="C6" s="3">
        <v>84</v>
      </c>
      <c r="D6" s="3">
        <v>96</v>
      </c>
      <c r="E6" s="3">
        <v>87</v>
      </c>
      <c r="F6" s="3">
        <v>86</v>
      </c>
      <c r="G6" s="3">
        <f t="shared" si="0"/>
        <v>353</v>
      </c>
      <c r="H6" s="3">
        <f t="shared" si="1"/>
        <v>88.25</v>
      </c>
    </row>
    <row r="7" spans="1:8">
      <c r="A7" s="3" t="s">
        <v>52</v>
      </c>
      <c r="B7" s="3" t="s">
        <v>53</v>
      </c>
      <c r="C7" s="3">
        <v>98</v>
      </c>
      <c r="D7" s="3">
        <v>94</v>
      </c>
      <c r="E7" s="3">
        <v>100</v>
      </c>
      <c r="F7" s="3">
        <v>97</v>
      </c>
      <c r="G7" s="3">
        <f t="shared" si="0"/>
        <v>389</v>
      </c>
      <c r="H7" s="3">
        <f t="shared" si="1"/>
        <v>97.25</v>
      </c>
    </row>
    <row r="8" spans="1:8">
      <c r="A8" s="3" t="s">
        <v>54</v>
      </c>
      <c r="B8" s="3" t="s">
        <v>55</v>
      </c>
      <c r="C8" s="3">
        <v>74</v>
      </c>
      <c r="D8" s="3">
        <v>98</v>
      </c>
      <c r="E8" s="3">
        <v>66</v>
      </c>
      <c r="F8" s="3">
        <v>68</v>
      </c>
      <c r="G8" s="3">
        <f t="shared" si="0"/>
        <v>306</v>
      </c>
      <c r="H8" s="3">
        <f t="shared" si="1"/>
        <v>76.5</v>
      </c>
    </row>
    <row r="9" spans="1:8">
      <c r="A9" s="3" t="s">
        <v>50</v>
      </c>
      <c r="B9" s="3" t="s">
        <v>56</v>
      </c>
      <c r="C9" s="3">
        <v>58</v>
      </c>
      <c r="D9" s="3">
        <v>67</v>
      </c>
      <c r="E9" s="3">
        <v>59</v>
      </c>
      <c r="F9" s="3">
        <v>78</v>
      </c>
      <c r="G9" s="3">
        <f t="shared" si="0"/>
        <v>262</v>
      </c>
      <c r="H9" s="3">
        <f t="shared" si="1"/>
        <v>65.5</v>
      </c>
    </row>
    <row r="10" spans="1:8">
      <c r="A10" s="3" t="s">
        <v>54</v>
      </c>
      <c r="B10" s="3" t="s">
        <v>57</v>
      </c>
      <c r="C10" s="3">
        <v>80</v>
      </c>
      <c r="D10" s="3">
        <v>89</v>
      </c>
      <c r="E10" s="3">
        <v>92</v>
      </c>
      <c r="F10" s="3">
        <v>88</v>
      </c>
      <c r="G10" s="3">
        <f t="shared" si="0"/>
        <v>349</v>
      </c>
      <c r="H10" s="3">
        <f t="shared" si="1"/>
        <v>87.25</v>
      </c>
    </row>
    <row r="11" spans="1:8">
      <c r="A11" s="3" t="s">
        <v>50</v>
      </c>
      <c r="B11" s="3" t="s">
        <v>58</v>
      </c>
      <c r="C11" s="3">
        <v>98</v>
      </c>
      <c r="D11" s="3">
        <v>80</v>
      </c>
      <c r="E11" s="3">
        <v>78</v>
      </c>
      <c r="F11" s="3">
        <v>97</v>
      </c>
      <c r="G11" s="3">
        <f t="shared" si="0"/>
        <v>353</v>
      </c>
      <c r="H11" s="3">
        <f t="shared" si="1"/>
        <v>88.25</v>
      </c>
    </row>
    <row r="12" spans="1:8">
      <c r="A12" s="3" t="s">
        <v>50</v>
      </c>
      <c r="B12" s="3" t="s">
        <v>59</v>
      </c>
      <c r="C12" s="3">
        <v>74</v>
      </c>
      <c r="D12" s="3">
        <v>68</v>
      </c>
      <c r="E12" s="3">
        <v>89</v>
      </c>
      <c r="F12" s="3">
        <v>54</v>
      </c>
      <c r="G12" s="3">
        <f t="shared" si="0"/>
        <v>285</v>
      </c>
      <c r="H12" s="3">
        <f t="shared" si="1"/>
        <v>71.25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8"/>
  <sheetViews>
    <sheetView workbookViewId="0">
      <selection activeCell="E24" sqref="E24"/>
    </sheetView>
  </sheetViews>
  <sheetFormatPr defaultRowHeight="16.899999999999999"/>
  <cols>
    <col min="1" max="1" width="9" style="7" customWidth="1"/>
    <col min="2" max="2" width="11" style="7" bestFit="1" customWidth="1"/>
    <col min="3" max="4" width="9" style="7" customWidth="1"/>
    <col min="5" max="5" width="10.125" style="7" customWidth="1"/>
    <col min="6" max="6" width="14.0625" style="7" customWidth="1"/>
    <col min="7" max="16384" width="9" style="7"/>
  </cols>
  <sheetData>
    <row r="1" spans="1:6" ht="24.75">
      <c r="A1" s="11" t="s">
        <v>60</v>
      </c>
      <c r="B1" s="11"/>
      <c r="C1" s="11"/>
      <c r="D1" s="11"/>
      <c r="E1" s="11"/>
      <c r="F1" s="11"/>
    </row>
    <row r="2" spans="1:6">
      <c r="A2" s="12" t="s">
        <v>61</v>
      </c>
      <c r="B2" s="12" t="s">
        <v>62</v>
      </c>
      <c r="C2" s="12" t="s">
        <v>63</v>
      </c>
      <c r="D2" s="12" t="s">
        <v>64</v>
      </c>
      <c r="E2" s="12" t="s">
        <v>65</v>
      </c>
      <c r="F2" s="12" t="s">
        <v>66</v>
      </c>
    </row>
    <row r="3" spans="1:6">
      <c r="A3" s="12" t="s">
        <v>67</v>
      </c>
      <c r="B3" s="12" t="s">
        <v>68</v>
      </c>
      <c r="C3" s="12" t="s">
        <v>69</v>
      </c>
      <c r="D3" s="13">
        <v>1000</v>
      </c>
      <c r="E3" s="13">
        <v>554100</v>
      </c>
      <c r="F3" s="13">
        <f>D3*E3</f>
        <v>554100000</v>
      </c>
    </row>
    <row r="4" spans="1:6">
      <c r="A4" s="12" t="s">
        <v>70</v>
      </c>
      <c r="B4" s="12" t="s">
        <v>71</v>
      </c>
      <c r="C4" s="12" t="s">
        <v>72</v>
      </c>
      <c r="D4" s="13">
        <v>1500</v>
      </c>
      <c r="E4" s="13">
        <v>452600</v>
      </c>
      <c r="F4" s="13">
        <f t="shared" ref="F4:F18" si="0">D4*E4</f>
        <v>678900000</v>
      </c>
    </row>
    <row r="5" spans="1:6">
      <c r="A5" s="12" t="s">
        <v>73</v>
      </c>
      <c r="B5" s="12" t="s">
        <v>74</v>
      </c>
      <c r="C5" s="12" t="s">
        <v>72</v>
      </c>
      <c r="D5" s="13">
        <v>1500</v>
      </c>
      <c r="E5" s="13">
        <v>519800</v>
      </c>
      <c r="F5" s="13">
        <f t="shared" si="0"/>
        <v>779700000</v>
      </c>
    </row>
    <row r="6" spans="1:6">
      <c r="A6" s="12" t="s">
        <v>75</v>
      </c>
      <c r="B6" s="12" t="s">
        <v>76</v>
      </c>
      <c r="C6" s="12" t="s">
        <v>77</v>
      </c>
      <c r="D6" s="13">
        <v>800</v>
      </c>
      <c r="E6" s="13">
        <v>398500</v>
      </c>
      <c r="F6" s="13">
        <f t="shared" si="0"/>
        <v>318800000</v>
      </c>
    </row>
    <row r="7" spans="1:6">
      <c r="A7" s="12" t="s">
        <v>67</v>
      </c>
      <c r="B7" s="12" t="s">
        <v>78</v>
      </c>
      <c r="C7" s="12" t="s">
        <v>79</v>
      </c>
      <c r="D7" s="13">
        <v>1500</v>
      </c>
      <c r="E7" s="13">
        <v>631500</v>
      </c>
      <c r="F7" s="13">
        <f t="shared" si="0"/>
        <v>947250000</v>
      </c>
    </row>
    <row r="8" spans="1:6">
      <c r="A8" s="12" t="s">
        <v>73</v>
      </c>
      <c r="B8" s="12" t="s">
        <v>80</v>
      </c>
      <c r="C8" s="12" t="s">
        <v>69</v>
      </c>
      <c r="D8" s="13">
        <v>1000</v>
      </c>
      <c r="E8" s="13">
        <v>468500</v>
      </c>
      <c r="F8" s="13">
        <f t="shared" si="0"/>
        <v>468500000</v>
      </c>
    </row>
    <row r="9" spans="1:6">
      <c r="A9" s="12" t="s">
        <v>67</v>
      </c>
      <c r="B9" s="12" t="s">
        <v>81</v>
      </c>
      <c r="C9" s="12" t="s">
        <v>77</v>
      </c>
      <c r="D9" s="13">
        <v>800</v>
      </c>
      <c r="E9" s="13">
        <v>613500</v>
      </c>
      <c r="F9" s="13">
        <f t="shared" si="0"/>
        <v>490800000</v>
      </c>
    </row>
    <row r="10" spans="1:6">
      <c r="A10" s="12" t="s">
        <v>67</v>
      </c>
      <c r="B10" s="12" t="s">
        <v>82</v>
      </c>
      <c r="C10" s="12" t="s">
        <v>72</v>
      </c>
      <c r="D10" s="13">
        <v>1500</v>
      </c>
      <c r="E10" s="13">
        <v>475800</v>
      </c>
      <c r="F10" s="13">
        <f t="shared" si="0"/>
        <v>713700000</v>
      </c>
    </row>
    <row r="11" spans="1:6">
      <c r="A11" s="12" t="s">
        <v>75</v>
      </c>
      <c r="B11" s="12" t="s">
        <v>83</v>
      </c>
      <c r="C11" s="12" t="s">
        <v>79</v>
      </c>
      <c r="D11" s="13">
        <v>1500</v>
      </c>
      <c r="E11" s="13">
        <v>438700</v>
      </c>
      <c r="F11" s="13">
        <f t="shared" si="0"/>
        <v>658050000</v>
      </c>
    </row>
    <row r="12" spans="1:6">
      <c r="A12" s="12" t="s">
        <v>70</v>
      </c>
      <c r="B12" s="12" t="s">
        <v>84</v>
      </c>
      <c r="C12" s="12" t="s">
        <v>85</v>
      </c>
      <c r="D12" s="13">
        <v>1500</v>
      </c>
      <c r="E12" s="13">
        <v>632000</v>
      </c>
      <c r="F12" s="13">
        <f t="shared" si="0"/>
        <v>948000000</v>
      </c>
    </row>
    <row r="13" spans="1:6">
      <c r="A13" s="12" t="s">
        <v>73</v>
      </c>
      <c r="B13" s="12" t="s">
        <v>86</v>
      </c>
      <c r="C13" s="12" t="s">
        <v>77</v>
      </c>
      <c r="D13" s="13">
        <v>800</v>
      </c>
      <c r="E13" s="13">
        <v>425800</v>
      </c>
      <c r="F13" s="13">
        <f t="shared" si="0"/>
        <v>340640000</v>
      </c>
    </row>
    <row r="14" spans="1:6">
      <c r="A14" s="12" t="s">
        <v>70</v>
      </c>
      <c r="B14" s="12" t="s">
        <v>87</v>
      </c>
      <c r="C14" s="12" t="s">
        <v>88</v>
      </c>
      <c r="D14" s="13">
        <v>1000</v>
      </c>
      <c r="E14" s="13">
        <v>572000</v>
      </c>
      <c r="F14" s="13">
        <f t="shared" si="0"/>
        <v>572000000</v>
      </c>
    </row>
    <row r="15" spans="1:6">
      <c r="A15" s="12" t="s">
        <v>75</v>
      </c>
      <c r="B15" s="12" t="s">
        <v>89</v>
      </c>
      <c r="C15" s="12" t="s">
        <v>69</v>
      </c>
      <c r="D15" s="13">
        <v>1000</v>
      </c>
      <c r="E15" s="13">
        <v>357900</v>
      </c>
      <c r="F15" s="13">
        <f t="shared" si="0"/>
        <v>357900000</v>
      </c>
    </row>
    <row r="16" spans="1:6">
      <c r="A16" s="12" t="s">
        <v>70</v>
      </c>
      <c r="B16" s="12" t="s">
        <v>90</v>
      </c>
      <c r="C16" s="12" t="s">
        <v>77</v>
      </c>
      <c r="D16" s="13">
        <v>800</v>
      </c>
      <c r="E16" s="13">
        <v>540000</v>
      </c>
      <c r="F16" s="13">
        <f t="shared" si="0"/>
        <v>432000000</v>
      </c>
    </row>
    <row r="17" spans="1:6">
      <c r="A17" s="12" t="s">
        <v>73</v>
      </c>
      <c r="B17" s="12" t="s">
        <v>91</v>
      </c>
      <c r="C17" s="12" t="s">
        <v>79</v>
      </c>
      <c r="D17" s="13">
        <v>1500</v>
      </c>
      <c r="E17" s="13">
        <v>524800</v>
      </c>
      <c r="F17" s="13">
        <f t="shared" si="0"/>
        <v>787200000</v>
      </c>
    </row>
    <row r="18" spans="1:6">
      <c r="A18" s="12" t="s">
        <v>75</v>
      </c>
      <c r="B18" s="12" t="s">
        <v>92</v>
      </c>
      <c r="C18" s="12" t="s">
        <v>72</v>
      </c>
      <c r="D18" s="13">
        <v>1500</v>
      </c>
      <c r="E18" s="13">
        <v>426800</v>
      </c>
      <c r="F18" s="13">
        <f t="shared" si="0"/>
        <v>640200000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activeCell="H10" sqref="H10"/>
    </sheetView>
  </sheetViews>
  <sheetFormatPr defaultColWidth="9" defaultRowHeight="16.899999999999999"/>
  <cols>
    <col min="1" max="1" width="11.125" style="7" customWidth="1"/>
    <col min="2" max="2" width="12.5" style="7" bestFit="1" customWidth="1"/>
    <col min="3" max="3" width="9.75" style="7" customWidth="1"/>
    <col min="4" max="4" width="11" style="7" bestFit="1" customWidth="1"/>
    <col min="5" max="5" width="12.5" style="7" bestFit="1" customWidth="1"/>
    <col min="6" max="7" width="11" style="7" bestFit="1" customWidth="1"/>
    <col min="8" max="16384" width="9" style="7"/>
  </cols>
  <sheetData>
    <row r="1" spans="1:7">
      <c r="A1" s="7" t="s">
        <v>93</v>
      </c>
    </row>
    <row r="2" spans="1:7">
      <c r="A2" s="3" t="s">
        <v>94</v>
      </c>
      <c r="B2" s="3" t="s">
        <v>95</v>
      </c>
      <c r="C2" s="3" t="s">
        <v>96</v>
      </c>
      <c r="D2" s="3" t="s">
        <v>97</v>
      </c>
      <c r="E2" s="3" t="s">
        <v>98</v>
      </c>
      <c r="F2" s="3" t="s">
        <v>99</v>
      </c>
      <c r="G2" s="3" t="s">
        <v>100</v>
      </c>
    </row>
    <row r="3" spans="1:7">
      <c r="A3" s="14" t="s">
        <v>101</v>
      </c>
      <c r="B3" s="14">
        <v>15044</v>
      </c>
      <c r="C3" s="3" t="s">
        <v>102</v>
      </c>
      <c r="D3" s="3" t="s">
        <v>103</v>
      </c>
      <c r="E3" s="14">
        <v>41748</v>
      </c>
      <c r="F3" s="5">
        <v>7560</v>
      </c>
      <c r="G3" s="5">
        <v>3780</v>
      </c>
    </row>
    <row r="4" spans="1:7">
      <c r="A4" s="14" t="s">
        <v>104</v>
      </c>
      <c r="B4" s="14">
        <v>14450</v>
      </c>
      <c r="C4" s="3" t="s">
        <v>105</v>
      </c>
      <c r="D4" s="3" t="s">
        <v>106</v>
      </c>
      <c r="E4" s="14">
        <v>41759</v>
      </c>
      <c r="F4" s="5">
        <v>5700</v>
      </c>
      <c r="G4" s="5">
        <v>2850</v>
      </c>
    </row>
    <row r="5" spans="1:7">
      <c r="A5" s="14" t="s">
        <v>107</v>
      </c>
      <c r="B5" s="14">
        <v>11828</v>
      </c>
      <c r="C5" s="3" t="s">
        <v>108</v>
      </c>
      <c r="D5" s="3" t="s">
        <v>109</v>
      </c>
      <c r="E5" s="14">
        <v>41760</v>
      </c>
      <c r="F5" s="5">
        <v>2970</v>
      </c>
      <c r="G5" s="5">
        <v>1485</v>
      </c>
    </row>
    <row r="6" spans="1:7">
      <c r="A6" s="14" t="s">
        <v>110</v>
      </c>
      <c r="B6" s="14">
        <v>29344</v>
      </c>
      <c r="C6" s="3" t="s">
        <v>102</v>
      </c>
      <c r="D6" s="3" t="s">
        <v>111</v>
      </c>
      <c r="E6" s="14">
        <v>41745</v>
      </c>
      <c r="F6" s="5">
        <v>2850</v>
      </c>
      <c r="G6" s="5">
        <v>1425</v>
      </c>
    </row>
    <row r="7" spans="1:7">
      <c r="A7" s="14" t="s">
        <v>112</v>
      </c>
      <c r="B7" s="14">
        <v>37081</v>
      </c>
      <c r="C7" s="3" t="s">
        <v>102</v>
      </c>
      <c r="D7" s="3" t="s">
        <v>113</v>
      </c>
      <c r="E7" s="14">
        <v>41745</v>
      </c>
      <c r="F7" s="5">
        <v>6330</v>
      </c>
      <c r="G7" s="5">
        <v>3165</v>
      </c>
    </row>
    <row r="8" spans="1:7">
      <c r="A8" s="14" t="s">
        <v>114</v>
      </c>
      <c r="B8" s="14">
        <v>32745</v>
      </c>
      <c r="C8" s="3" t="s">
        <v>102</v>
      </c>
      <c r="D8" s="3" t="s">
        <v>115</v>
      </c>
      <c r="E8" s="14">
        <v>41754</v>
      </c>
      <c r="F8" s="5">
        <v>3600</v>
      </c>
      <c r="G8" s="5">
        <v>1800</v>
      </c>
    </row>
    <row r="9" spans="1:7">
      <c r="A9" s="14" t="s">
        <v>116</v>
      </c>
      <c r="B9" s="14">
        <v>26388</v>
      </c>
      <c r="C9" s="3" t="s">
        <v>102</v>
      </c>
      <c r="D9" s="3" t="s">
        <v>117</v>
      </c>
      <c r="E9" s="14">
        <v>41755</v>
      </c>
      <c r="F9" s="5">
        <v>19280</v>
      </c>
      <c r="G9" s="5">
        <v>5784</v>
      </c>
    </row>
    <row r="10" spans="1:7">
      <c r="A10" s="14" t="s">
        <v>118</v>
      </c>
      <c r="B10" s="14">
        <v>14569</v>
      </c>
      <c r="C10" s="3" t="s">
        <v>108</v>
      </c>
      <c r="D10" s="3" t="s">
        <v>119</v>
      </c>
      <c r="E10" s="14">
        <v>41752</v>
      </c>
      <c r="F10" s="5">
        <v>5100</v>
      </c>
      <c r="G10" s="5">
        <v>2550</v>
      </c>
    </row>
    <row r="11" spans="1:7">
      <c r="A11" s="14" t="s">
        <v>120</v>
      </c>
      <c r="B11" s="14">
        <v>39374</v>
      </c>
      <c r="C11" s="3" t="s">
        <v>102</v>
      </c>
      <c r="D11" s="3" t="s">
        <v>121</v>
      </c>
      <c r="E11" s="14">
        <v>41757</v>
      </c>
      <c r="F11" s="5">
        <v>2700</v>
      </c>
      <c r="G11" s="5">
        <v>1350</v>
      </c>
    </row>
    <row r="12" spans="1:7">
      <c r="A12" s="14" t="s">
        <v>122</v>
      </c>
      <c r="B12" s="14">
        <v>37018</v>
      </c>
      <c r="C12" s="3" t="s">
        <v>105</v>
      </c>
      <c r="D12" s="3" t="s">
        <v>123</v>
      </c>
      <c r="E12" s="14">
        <v>41755</v>
      </c>
      <c r="F12" s="5">
        <v>11880</v>
      </c>
      <c r="G12" s="5">
        <v>3564</v>
      </c>
    </row>
    <row r="13" spans="1:7">
      <c r="A13" s="14" t="s">
        <v>124</v>
      </c>
      <c r="B13" s="14">
        <v>24531</v>
      </c>
      <c r="C13" s="3" t="s">
        <v>102</v>
      </c>
      <c r="D13" s="3" t="s">
        <v>125</v>
      </c>
      <c r="E13" s="14">
        <v>41755</v>
      </c>
      <c r="F13" s="5">
        <v>8850</v>
      </c>
      <c r="G13" s="5">
        <v>4425</v>
      </c>
    </row>
    <row r="14" spans="1:7">
      <c r="A14" s="14" t="s">
        <v>126</v>
      </c>
      <c r="B14" s="14">
        <v>28305</v>
      </c>
      <c r="C14" s="3" t="s">
        <v>102</v>
      </c>
      <c r="D14" s="3" t="s">
        <v>127</v>
      </c>
      <c r="E14" s="14">
        <v>41757</v>
      </c>
      <c r="F14" s="5">
        <v>4050</v>
      </c>
      <c r="G14" s="5">
        <v>2025</v>
      </c>
    </row>
    <row r="15" spans="1:7">
      <c r="A15" s="14" t="s">
        <v>128</v>
      </c>
      <c r="B15" s="14">
        <v>11661</v>
      </c>
      <c r="C15" s="3" t="s">
        <v>108</v>
      </c>
      <c r="D15" s="3" t="s">
        <v>129</v>
      </c>
      <c r="E15" s="14">
        <v>41758</v>
      </c>
      <c r="F15" s="5">
        <v>33660</v>
      </c>
      <c r="G15" s="5">
        <v>3366</v>
      </c>
    </row>
    <row r="16" spans="1:7">
      <c r="A16" s="14" t="s">
        <v>130</v>
      </c>
      <c r="B16" s="14">
        <v>37300</v>
      </c>
      <c r="C16" s="3" t="s">
        <v>108</v>
      </c>
      <c r="D16" s="3" t="s">
        <v>131</v>
      </c>
      <c r="E16" s="14">
        <v>41759</v>
      </c>
      <c r="F16" s="5">
        <v>29970</v>
      </c>
      <c r="G16" s="5">
        <v>8991</v>
      </c>
    </row>
    <row r="17" spans="1:7">
      <c r="A17" s="14" t="s">
        <v>132</v>
      </c>
      <c r="B17" s="14">
        <v>35058</v>
      </c>
      <c r="C17" s="3" t="s">
        <v>105</v>
      </c>
      <c r="D17" s="3" t="s">
        <v>133</v>
      </c>
      <c r="E17" s="14">
        <v>41759</v>
      </c>
      <c r="F17" s="5">
        <v>11400</v>
      </c>
      <c r="G17" s="5">
        <v>3420</v>
      </c>
    </row>
    <row r="18" spans="1:7">
      <c r="A18" s="14" t="s">
        <v>134</v>
      </c>
      <c r="B18" s="14">
        <v>25653</v>
      </c>
      <c r="C18" s="3" t="s">
        <v>102</v>
      </c>
      <c r="D18" s="3" t="s">
        <v>135</v>
      </c>
      <c r="E18" s="14">
        <v>41760</v>
      </c>
      <c r="F18" s="5">
        <v>1350</v>
      </c>
      <c r="G18" s="5">
        <v>675</v>
      </c>
    </row>
    <row r="19" spans="1:7">
      <c r="A19" s="14" t="s">
        <v>136</v>
      </c>
      <c r="B19" s="14">
        <v>12305</v>
      </c>
      <c r="C19" s="3" t="s">
        <v>108</v>
      </c>
      <c r="D19" s="3" t="s">
        <v>137</v>
      </c>
      <c r="E19" s="14">
        <v>41760</v>
      </c>
      <c r="F19" s="5">
        <v>2700</v>
      </c>
      <c r="G19" s="5">
        <v>1350</v>
      </c>
    </row>
    <row r="20" spans="1:7">
      <c r="A20" s="14" t="s">
        <v>138</v>
      </c>
      <c r="B20" s="14">
        <v>38119</v>
      </c>
      <c r="C20" s="3" t="s">
        <v>105</v>
      </c>
      <c r="D20" s="3" t="s">
        <v>139</v>
      </c>
      <c r="E20" s="14">
        <v>41759</v>
      </c>
      <c r="F20" s="5">
        <v>1980</v>
      </c>
      <c r="G20" s="5">
        <v>990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zoomScaleNormal="100" workbookViewId="0">
      <selection activeCell="H31" sqref="H31"/>
    </sheetView>
  </sheetViews>
  <sheetFormatPr defaultRowHeight="16.899999999999999"/>
  <cols>
    <col min="1" max="2" width="9" style="7"/>
    <col min="3" max="3" width="10.6875" style="7" customWidth="1"/>
    <col min="4" max="4" width="11.6875" style="7" customWidth="1"/>
    <col min="5" max="16384" width="9" style="7"/>
  </cols>
  <sheetData>
    <row r="1" spans="1:4">
      <c r="A1" s="1" t="s">
        <v>140</v>
      </c>
    </row>
    <row r="2" spans="1:4">
      <c r="B2" s="15"/>
      <c r="C2" s="15"/>
      <c r="D2" s="15"/>
    </row>
    <row r="3" spans="1:4">
      <c r="A3" s="3" t="s">
        <v>141</v>
      </c>
      <c r="B3" s="16" t="s">
        <v>142</v>
      </c>
      <c r="C3" s="16" t="s">
        <v>143</v>
      </c>
      <c r="D3" s="16" t="s">
        <v>144</v>
      </c>
    </row>
    <row r="4" spans="1:4">
      <c r="A4" s="3">
        <v>1</v>
      </c>
      <c r="B4" s="17" t="s">
        <v>145</v>
      </c>
      <c r="C4" s="18">
        <v>0.433</v>
      </c>
      <c r="D4" s="18">
        <v>0.49</v>
      </c>
    </row>
    <row r="5" spans="1:4">
      <c r="A5" s="3">
        <v>2</v>
      </c>
      <c r="B5" s="17" t="s">
        <v>146</v>
      </c>
      <c r="C5" s="18">
        <v>0.56299999999999994</v>
      </c>
      <c r="D5" s="18">
        <v>0.56299999999999994</v>
      </c>
    </row>
    <row r="6" spans="1:4">
      <c r="A6" s="3">
        <v>3</v>
      </c>
      <c r="B6" s="17" t="s">
        <v>147</v>
      </c>
      <c r="C6" s="18">
        <v>0.55400000000000005</v>
      </c>
      <c r="D6" s="18">
        <v>0.61299999999999999</v>
      </c>
    </row>
    <row r="7" spans="1:4">
      <c r="A7" s="3">
        <v>4</v>
      </c>
      <c r="B7" s="17" t="s">
        <v>148</v>
      </c>
      <c r="C7" s="18">
        <v>0.496</v>
      </c>
      <c r="D7" s="18">
        <v>0.47499999999999998</v>
      </c>
    </row>
    <row r="8" spans="1:4">
      <c r="A8" s="3">
        <v>5</v>
      </c>
      <c r="B8" s="17" t="s">
        <v>149</v>
      </c>
      <c r="C8" s="18">
        <v>0.50800000000000001</v>
      </c>
      <c r="D8" s="18">
        <v>0.629</v>
      </c>
    </row>
    <row r="9" spans="1:4">
      <c r="A9" s="3">
        <v>6</v>
      </c>
      <c r="B9" s="17" t="s">
        <v>150</v>
      </c>
      <c r="C9" s="18">
        <v>0.52200000000000002</v>
      </c>
      <c r="D9" s="18">
        <v>0.42299999999999999</v>
      </c>
    </row>
    <row r="10" spans="1:4">
      <c r="A10" s="3">
        <v>7</v>
      </c>
      <c r="B10" s="17" t="s">
        <v>151</v>
      </c>
      <c r="C10" s="18">
        <v>0.47799999999999998</v>
      </c>
      <c r="D10" s="18">
        <v>0.45700000000000002</v>
      </c>
    </row>
    <row r="11" spans="1:4">
      <c r="A11" s="3">
        <v>8</v>
      </c>
      <c r="B11" s="17" t="s">
        <v>152</v>
      </c>
      <c r="C11" s="18">
        <v>0.56299999999999994</v>
      </c>
      <c r="D11" s="18">
        <v>0.46500000000000002</v>
      </c>
    </row>
    <row r="12" spans="1:4">
      <c r="A12" s="3">
        <v>9</v>
      </c>
      <c r="B12" s="17" t="s">
        <v>153</v>
      </c>
      <c r="C12" s="18">
        <v>0.51100000000000001</v>
      </c>
      <c r="D12" s="18">
        <v>0.56299999999999994</v>
      </c>
    </row>
    <row r="13" spans="1:4">
      <c r="A13" s="3">
        <v>10</v>
      </c>
      <c r="B13" s="17" t="s">
        <v>154</v>
      </c>
      <c r="C13" s="18">
        <v>0.371</v>
      </c>
      <c r="D13" s="18">
        <v>0.32400000000000001</v>
      </c>
    </row>
    <row r="14" spans="1:4">
      <c r="B14" s="19"/>
      <c r="C14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8"/>
  <sheetViews>
    <sheetView workbookViewId="0">
      <selection activeCell="G31" sqref="G31"/>
    </sheetView>
  </sheetViews>
  <sheetFormatPr defaultRowHeight="16.899999999999999"/>
  <cols>
    <col min="1" max="1" width="12.875" style="7" customWidth="1"/>
    <col min="2" max="8" width="9.75" style="7" customWidth="1"/>
    <col min="9" max="16384" width="9" style="7"/>
  </cols>
  <sheetData>
    <row r="1" spans="1:9" ht="24.75">
      <c r="A1" s="21" t="s">
        <v>155</v>
      </c>
      <c r="B1" s="21"/>
      <c r="C1" s="21"/>
      <c r="D1" s="21"/>
      <c r="E1" s="21"/>
      <c r="F1" s="21"/>
      <c r="G1" s="21"/>
      <c r="H1" s="21"/>
      <c r="I1" s="21"/>
    </row>
    <row r="2" spans="1:9">
      <c r="A2" s="4"/>
      <c r="B2" s="4"/>
      <c r="C2" s="4"/>
      <c r="D2" s="22"/>
      <c r="E2" s="23"/>
    </row>
    <row r="3" spans="1:9">
      <c r="A3" s="24" t="s">
        <v>156</v>
      </c>
      <c r="B3" s="24" t="s">
        <v>157</v>
      </c>
      <c r="C3" s="24" t="s">
        <v>158</v>
      </c>
      <c r="D3" s="24" t="s">
        <v>159</v>
      </c>
      <c r="E3" s="24" t="s">
        <v>160</v>
      </c>
      <c r="F3" s="24" t="s">
        <v>161</v>
      </c>
      <c r="G3" s="24" t="s">
        <v>162</v>
      </c>
      <c r="H3" s="24" t="s">
        <v>163</v>
      </c>
    </row>
    <row r="4" spans="1:9" ht="16.5" customHeight="1">
      <c r="A4" s="3">
        <v>201713056</v>
      </c>
      <c r="B4" s="3" t="s">
        <v>164</v>
      </c>
      <c r="C4" s="5">
        <v>25</v>
      </c>
      <c r="D4" s="5">
        <f t="shared" ref="D4:D18" si="0">50+C4/2</f>
        <v>62.5</v>
      </c>
      <c r="E4" s="5">
        <v>15</v>
      </c>
      <c r="F4" s="5">
        <f t="shared" ref="F4:F18" si="1">50+E4/2</f>
        <v>57.5</v>
      </c>
      <c r="G4" s="5">
        <v>18</v>
      </c>
      <c r="H4" s="5">
        <f t="shared" ref="H4:H18" si="2">(D4+F4)*0.4+G4</f>
        <v>66</v>
      </c>
    </row>
    <row r="5" spans="1:9" ht="16.5" customHeight="1">
      <c r="A5" s="3">
        <v>201809060</v>
      </c>
      <c r="B5" s="3" t="s">
        <v>165</v>
      </c>
      <c r="C5" s="5">
        <v>67.5</v>
      </c>
      <c r="D5" s="5">
        <f t="shared" si="0"/>
        <v>83.75</v>
      </c>
      <c r="E5" s="5">
        <v>10</v>
      </c>
      <c r="F5" s="5">
        <f t="shared" si="1"/>
        <v>55</v>
      </c>
      <c r="G5" s="5">
        <v>16</v>
      </c>
      <c r="H5" s="5">
        <f t="shared" si="2"/>
        <v>71.5</v>
      </c>
    </row>
    <row r="6" spans="1:9">
      <c r="A6" s="3">
        <v>201621010</v>
      </c>
      <c r="B6" s="3" t="s">
        <v>166</v>
      </c>
      <c r="C6" s="5">
        <v>37.5</v>
      </c>
      <c r="D6" s="5">
        <f t="shared" si="0"/>
        <v>68.75</v>
      </c>
      <c r="E6" s="5">
        <v>8</v>
      </c>
      <c r="F6" s="5">
        <f t="shared" si="1"/>
        <v>54</v>
      </c>
      <c r="G6" s="5">
        <v>18</v>
      </c>
      <c r="H6" s="5">
        <f t="shared" si="2"/>
        <v>67.099999999999994</v>
      </c>
    </row>
    <row r="7" spans="1:9">
      <c r="A7" s="3">
        <v>201618036</v>
      </c>
      <c r="B7" s="3" t="s">
        <v>167</v>
      </c>
      <c r="C7" s="5">
        <v>30</v>
      </c>
      <c r="D7" s="5">
        <f t="shared" si="0"/>
        <v>65</v>
      </c>
      <c r="E7" s="5">
        <v>30</v>
      </c>
      <c r="F7" s="5">
        <f t="shared" si="1"/>
        <v>65</v>
      </c>
      <c r="G7" s="5">
        <v>20</v>
      </c>
      <c r="H7" s="5">
        <f t="shared" si="2"/>
        <v>72</v>
      </c>
    </row>
    <row r="8" spans="1:9">
      <c r="A8" s="3">
        <v>201915093</v>
      </c>
      <c r="B8" s="3" t="s">
        <v>168</v>
      </c>
      <c r="C8" s="5">
        <v>87.5</v>
      </c>
      <c r="D8" s="5">
        <f t="shared" si="0"/>
        <v>93.75</v>
      </c>
      <c r="E8" s="5">
        <v>90</v>
      </c>
      <c r="F8" s="5">
        <f t="shared" si="1"/>
        <v>95</v>
      </c>
      <c r="G8" s="5">
        <v>20</v>
      </c>
      <c r="H8" s="5">
        <f t="shared" si="2"/>
        <v>95.5</v>
      </c>
    </row>
    <row r="9" spans="1:9">
      <c r="A9" s="3">
        <v>201714036</v>
      </c>
      <c r="B9" s="3" t="s">
        <v>169</v>
      </c>
      <c r="C9" s="5">
        <v>43.75</v>
      </c>
      <c r="D9" s="5">
        <f t="shared" si="0"/>
        <v>71.875</v>
      </c>
      <c r="E9" s="5">
        <v>5</v>
      </c>
      <c r="F9" s="5">
        <f t="shared" si="1"/>
        <v>52.5</v>
      </c>
      <c r="G9" s="5">
        <v>18</v>
      </c>
      <c r="H9" s="5">
        <f t="shared" si="2"/>
        <v>67.75</v>
      </c>
    </row>
    <row r="10" spans="1:9">
      <c r="A10" s="3">
        <v>201830056</v>
      </c>
      <c r="B10" s="3" t="s">
        <v>170</v>
      </c>
      <c r="C10" s="5">
        <v>42.5</v>
      </c>
      <c r="D10" s="5">
        <f t="shared" si="0"/>
        <v>71.25</v>
      </c>
      <c r="E10" s="5">
        <v>20</v>
      </c>
      <c r="F10" s="5">
        <f t="shared" si="1"/>
        <v>60</v>
      </c>
      <c r="G10" s="5">
        <v>16</v>
      </c>
      <c r="H10" s="5">
        <f t="shared" si="2"/>
        <v>68.5</v>
      </c>
    </row>
    <row r="11" spans="1:9">
      <c r="A11" s="3">
        <v>201809025</v>
      </c>
      <c r="B11" s="3" t="s">
        <v>171</v>
      </c>
      <c r="C11" s="5">
        <v>25</v>
      </c>
      <c r="D11" s="5">
        <f t="shared" si="0"/>
        <v>62.5</v>
      </c>
      <c r="E11" s="5">
        <v>20</v>
      </c>
      <c r="F11" s="5">
        <f t="shared" si="1"/>
        <v>60</v>
      </c>
      <c r="G11" s="5">
        <v>16</v>
      </c>
      <c r="H11" s="5">
        <f t="shared" si="2"/>
        <v>65</v>
      </c>
    </row>
    <row r="12" spans="1:9">
      <c r="A12" s="3">
        <v>201906050</v>
      </c>
      <c r="B12" s="3" t="s">
        <v>172</v>
      </c>
      <c r="C12" s="5">
        <v>87.5</v>
      </c>
      <c r="D12" s="5">
        <f t="shared" si="0"/>
        <v>93.75</v>
      </c>
      <c r="E12" s="5">
        <v>50</v>
      </c>
      <c r="F12" s="5">
        <f t="shared" si="1"/>
        <v>75</v>
      </c>
      <c r="G12" s="5">
        <v>16</v>
      </c>
      <c r="H12" s="5">
        <f t="shared" si="2"/>
        <v>83.5</v>
      </c>
    </row>
    <row r="13" spans="1:9">
      <c r="A13" s="3">
        <v>201618046</v>
      </c>
      <c r="B13" s="3" t="s">
        <v>173</v>
      </c>
      <c r="C13" s="5">
        <v>88</v>
      </c>
      <c r="D13" s="5">
        <f t="shared" si="0"/>
        <v>94</v>
      </c>
      <c r="E13" s="5">
        <v>80</v>
      </c>
      <c r="F13" s="5">
        <f t="shared" si="1"/>
        <v>90</v>
      </c>
      <c r="G13" s="5">
        <v>20</v>
      </c>
      <c r="H13" s="5">
        <f t="shared" si="2"/>
        <v>93.600000000000009</v>
      </c>
    </row>
    <row r="14" spans="1:9">
      <c r="A14" s="3">
        <v>201915058</v>
      </c>
      <c r="B14" s="3" t="s">
        <v>174</v>
      </c>
      <c r="C14" s="5">
        <v>0</v>
      </c>
      <c r="D14" s="5">
        <f t="shared" si="0"/>
        <v>50</v>
      </c>
      <c r="E14" s="5">
        <v>10</v>
      </c>
      <c r="F14" s="5">
        <f t="shared" si="1"/>
        <v>55</v>
      </c>
      <c r="G14" s="5">
        <v>18</v>
      </c>
      <c r="H14" s="5">
        <f t="shared" si="2"/>
        <v>60</v>
      </c>
    </row>
    <row r="15" spans="1:9">
      <c r="A15" s="3">
        <v>201915087</v>
      </c>
      <c r="B15" s="3" t="s">
        <v>175</v>
      </c>
      <c r="C15" s="5">
        <v>50</v>
      </c>
      <c r="D15" s="5">
        <f t="shared" si="0"/>
        <v>75</v>
      </c>
      <c r="E15" s="5">
        <v>40</v>
      </c>
      <c r="F15" s="5">
        <f t="shared" si="1"/>
        <v>70</v>
      </c>
      <c r="G15" s="5">
        <v>20</v>
      </c>
      <c r="H15" s="5">
        <f t="shared" si="2"/>
        <v>78</v>
      </c>
    </row>
    <row r="16" spans="1:9">
      <c r="A16" s="3">
        <v>201702075</v>
      </c>
      <c r="B16" s="3" t="s">
        <v>176</v>
      </c>
      <c r="C16" s="5">
        <v>20</v>
      </c>
      <c r="D16" s="5">
        <f t="shared" si="0"/>
        <v>60</v>
      </c>
      <c r="E16" s="5">
        <v>15</v>
      </c>
      <c r="F16" s="5">
        <f t="shared" si="1"/>
        <v>57.5</v>
      </c>
      <c r="G16" s="5">
        <v>20</v>
      </c>
      <c r="H16" s="5">
        <f t="shared" si="2"/>
        <v>67</v>
      </c>
    </row>
    <row r="17" spans="1:8">
      <c r="A17" s="3">
        <v>201915065</v>
      </c>
      <c r="B17" s="3" t="s">
        <v>177</v>
      </c>
      <c r="C17" s="5">
        <v>50</v>
      </c>
      <c r="D17" s="5">
        <f t="shared" si="0"/>
        <v>75</v>
      </c>
      <c r="E17" s="5">
        <v>40</v>
      </c>
      <c r="F17" s="5">
        <f t="shared" si="1"/>
        <v>70</v>
      </c>
      <c r="G17" s="5">
        <v>20</v>
      </c>
      <c r="H17" s="5">
        <f t="shared" si="2"/>
        <v>78</v>
      </c>
    </row>
    <row r="18" spans="1:8">
      <c r="A18" s="3">
        <v>201820030</v>
      </c>
      <c r="B18" s="3" t="s">
        <v>178</v>
      </c>
      <c r="C18" s="5">
        <v>34.375</v>
      </c>
      <c r="D18" s="5">
        <f t="shared" si="0"/>
        <v>67.1875</v>
      </c>
      <c r="E18" s="5">
        <v>10</v>
      </c>
      <c r="F18" s="5">
        <f t="shared" si="1"/>
        <v>55</v>
      </c>
      <c r="G18" s="5">
        <v>16</v>
      </c>
      <c r="H18" s="5">
        <f t="shared" si="2"/>
        <v>64.875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5"/>
  <sheetViews>
    <sheetView tabSelected="1" workbookViewId="0"/>
  </sheetViews>
  <sheetFormatPr defaultRowHeight="16.899999999999999"/>
  <cols>
    <col min="1" max="7" width="11.625" style="7" customWidth="1"/>
    <col min="8" max="16384" width="9" style="7"/>
  </cols>
  <sheetData>
    <row r="1" spans="1:7">
      <c r="A1" s="7" t="s">
        <v>179</v>
      </c>
    </row>
    <row r="3" spans="1:7">
      <c r="A3" s="24" t="s">
        <v>180</v>
      </c>
      <c r="B3" s="24" t="s">
        <v>181</v>
      </c>
      <c r="C3" s="24" t="s">
        <v>182</v>
      </c>
      <c r="D3" s="24" t="s">
        <v>32</v>
      </c>
      <c r="E3" s="24" t="s">
        <v>183</v>
      </c>
      <c r="F3" s="24" t="s">
        <v>184</v>
      </c>
      <c r="G3" s="24" t="s">
        <v>185</v>
      </c>
    </row>
    <row r="4" spans="1:7">
      <c r="A4" s="3" t="s">
        <v>186</v>
      </c>
      <c r="B4" s="3" t="s">
        <v>187</v>
      </c>
      <c r="C4" s="3" t="s">
        <v>188</v>
      </c>
      <c r="D4" s="6">
        <v>4273000</v>
      </c>
      <c r="E4" s="6">
        <v>882000</v>
      </c>
      <c r="F4" s="6">
        <f>D4*0.25</f>
        <v>1068250</v>
      </c>
      <c r="G4" s="6">
        <f>SUM(D4:F4)</f>
        <v>6223250</v>
      </c>
    </row>
    <row r="5" spans="1:7">
      <c r="A5" s="3" t="s">
        <v>189</v>
      </c>
      <c r="B5" s="3" t="s">
        <v>190</v>
      </c>
      <c r="C5" s="3" t="s">
        <v>29</v>
      </c>
      <c r="D5" s="6">
        <v>3697000</v>
      </c>
      <c r="E5" s="6">
        <v>724000</v>
      </c>
      <c r="F5" s="6">
        <f t="shared" ref="F5:F15" si="0">D5*0.25</f>
        <v>924250</v>
      </c>
      <c r="G5" s="6">
        <f t="shared" ref="G5:G15" si="1">SUM(D5:F5)</f>
        <v>5345250</v>
      </c>
    </row>
    <row r="6" spans="1:7">
      <c r="A6" s="3" t="s">
        <v>191</v>
      </c>
      <c r="B6" s="3" t="s">
        <v>192</v>
      </c>
      <c r="C6" s="3" t="s">
        <v>193</v>
      </c>
      <c r="D6" s="6">
        <v>2856000</v>
      </c>
      <c r="E6" s="6">
        <v>430000</v>
      </c>
      <c r="F6" s="6">
        <f t="shared" si="0"/>
        <v>714000</v>
      </c>
      <c r="G6" s="6">
        <f t="shared" si="1"/>
        <v>4000000</v>
      </c>
    </row>
    <row r="7" spans="1:7">
      <c r="A7" s="3" t="s">
        <v>194</v>
      </c>
      <c r="B7" s="3" t="s">
        <v>195</v>
      </c>
      <c r="C7" s="3" t="s">
        <v>196</v>
      </c>
      <c r="D7" s="6">
        <v>3047000</v>
      </c>
      <c r="E7" s="6">
        <v>524000</v>
      </c>
      <c r="F7" s="6">
        <f t="shared" si="0"/>
        <v>761750</v>
      </c>
      <c r="G7" s="6">
        <f t="shared" si="1"/>
        <v>4332750</v>
      </c>
    </row>
    <row r="8" spans="1:7">
      <c r="A8" s="3" t="s">
        <v>197</v>
      </c>
      <c r="B8" s="3" t="s">
        <v>198</v>
      </c>
      <c r="C8" s="3" t="s">
        <v>30</v>
      </c>
      <c r="D8" s="6">
        <v>3140000</v>
      </c>
      <c r="E8" s="6">
        <v>480000</v>
      </c>
      <c r="F8" s="6">
        <f t="shared" si="0"/>
        <v>785000</v>
      </c>
      <c r="G8" s="6">
        <f t="shared" si="1"/>
        <v>4405000</v>
      </c>
    </row>
    <row r="9" spans="1:7">
      <c r="A9" s="3" t="s">
        <v>199</v>
      </c>
      <c r="B9" s="3" t="s">
        <v>200</v>
      </c>
      <c r="C9" s="3" t="s">
        <v>201</v>
      </c>
      <c r="D9" s="6">
        <v>2510000</v>
      </c>
      <c r="E9" s="6">
        <v>320000</v>
      </c>
      <c r="F9" s="6">
        <f t="shared" si="0"/>
        <v>627500</v>
      </c>
      <c r="G9" s="6">
        <f t="shared" si="1"/>
        <v>3457500</v>
      </c>
    </row>
    <row r="10" spans="1:7">
      <c r="A10" s="3" t="s">
        <v>202</v>
      </c>
      <c r="B10" s="3" t="s">
        <v>203</v>
      </c>
      <c r="C10" s="3" t="s">
        <v>29</v>
      </c>
      <c r="D10" s="6">
        <v>3506000</v>
      </c>
      <c r="E10" s="6">
        <v>542000</v>
      </c>
      <c r="F10" s="6">
        <f t="shared" si="0"/>
        <v>876500</v>
      </c>
      <c r="G10" s="6">
        <f t="shared" si="1"/>
        <v>4924500</v>
      </c>
    </row>
    <row r="11" spans="1:7">
      <c r="A11" s="3" t="s">
        <v>204</v>
      </c>
      <c r="B11" s="3" t="s">
        <v>205</v>
      </c>
      <c r="C11" s="3" t="s">
        <v>30</v>
      </c>
      <c r="D11" s="6">
        <v>3200000</v>
      </c>
      <c r="E11" s="6">
        <v>360000</v>
      </c>
      <c r="F11" s="6">
        <f t="shared" si="0"/>
        <v>800000</v>
      </c>
      <c r="G11" s="6">
        <f t="shared" si="1"/>
        <v>4360000</v>
      </c>
    </row>
    <row r="12" spans="1:7">
      <c r="A12" s="3" t="s">
        <v>206</v>
      </c>
      <c r="B12" s="3" t="s">
        <v>207</v>
      </c>
      <c r="C12" s="3" t="s">
        <v>208</v>
      </c>
      <c r="D12" s="6">
        <v>2734000</v>
      </c>
      <c r="E12" s="6">
        <v>324000</v>
      </c>
      <c r="F12" s="6">
        <f t="shared" si="0"/>
        <v>683500</v>
      </c>
      <c r="G12" s="6">
        <f t="shared" si="1"/>
        <v>3741500</v>
      </c>
    </row>
    <row r="13" spans="1:7">
      <c r="A13" s="3" t="s">
        <v>209</v>
      </c>
      <c r="B13" s="3" t="s">
        <v>210</v>
      </c>
      <c r="C13" s="3" t="s">
        <v>31</v>
      </c>
      <c r="D13" s="6">
        <v>2473000</v>
      </c>
      <c r="E13" s="6">
        <v>268000</v>
      </c>
      <c r="F13" s="6">
        <f t="shared" si="0"/>
        <v>618250</v>
      </c>
      <c r="G13" s="6">
        <f t="shared" si="1"/>
        <v>3359250</v>
      </c>
    </row>
    <row r="14" spans="1:7">
      <c r="A14" s="3" t="s">
        <v>211</v>
      </c>
      <c r="B14" s="3" t="s">
        <v>212</v>
      </c>
      <c r="C14" s="3" t="s">
        <v>213</v>
      </c>
      <c r="D14" s="6">
        <v>2810000</v>
      </c>
      <c r="E14" s="6">
        <v>302000</v>
      </c>
      <c r="F14" s="6">
        <f t="shared" si="0"/>
        <v>702500</v>
      </c>
      <c r="G14" s="6">
        <f t="shared" si="1"/>
        <v>3814500</v>
      </c>
    </row>
    <row r="15" spans="1:7">
      <c r="A15" s="3" t="s">
        <v>214</v>
      </c>
      <c r="B15" s="3" t="s">
        <v>215</v>
      </c>
      <c r="C15" s="3" t="s">
        <v>216</v>
      </c>
      <c r="D15" s="6">
        <v>2980000</v>
      </c>
      <c r="E15" s="6">
        <v>347000</v>
      </c>
      <c r="F15" s="6">
        <f t="shared" si="0"/>
        <v>745000</v>
      </c>
      <c r="G15" s="6">
        <f t="shared" si="1"/>
        <v>4072000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조건부서식1</vt:lpstr>
      <vt:lpstr>조건부서식2</vt:lpstr>
      <vt:lpstr>조건부서식3</vt:lpstr>
      <vt:lpstr>조건부서식4</vt:lpstr>
      <vt:lpstr>조건부서식5</vt:lpstr>
      <vt:lpstr>조건부서식6</vt:lpstr>
      <vt:lpstr>조건부서식7</vt:lpstr>
      <vt:lpstr>조건부서식8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기풍쌤</cp:lastModifiedBy>
  <cp:lastPrinted>2019-02-15T08:20:55Z</cp:lastPrinted>
  <dcterms:created xsi:type="dcterms:W3CDTF">2019-02-15T01:59:13Z</dcterms:created>
  <dcterms:modified xsi:type="dcterms:W3CDTF">2023-01-16T02:08:49Z</dcterms:modified>
</cp:coreProperties>
</file>